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mik\Downloads\"/>
    </mc:Choice>
  </mc:AlternateContent>
  <xr:revisionPtr revIDLastSave="0" documentId="8_{3D927ECE-A3CA-4270-AA33-34C36BAD5D52}" xr6:coauthVersionLast="47" xr6:coauthVersionMax="47" xr10:uidLastSave="{00000000-0000-0000-0000-000000000000}"/>
  <bookViews>
    <workbookView xWindow="-120" yWindow="-120" windowWidth="29040" windowHeight="15720" activeTab="1" xr2:uid="{8070F2E3-8F6B-4B3D-8DE4-6C0CFA8FECAF}"/>
  </bookViews>
  <sheets>
    <sheet name="MA_NGHE" sheetId="1" r:id="rId1"/>
    <sheet name="TEN_LOP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2" l="1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2" i="2"/>
</calcChain>
</file>

<file path=xl/sharedStrings.xml><?xml version="1.0" encoding="utf-8"?>
<sst xmlns="http://schemas.openxmlformats.org/spreadsheetml/2006/main" count="500" uniqueCount="264">
  <si>
    <t>MÃ_QUY_ĐỊNH</t>
  </si>
  <si>
    <t>MÃ_NGHỀ</t>
  </si>
  <si>
    <t>TÊN_NGHỀ</t>
  </si>
  <si>
    <t>MÃ_CĐ_TC</t>
  </si>
  <si>
    <t>TÊN_CĐ_TC</t>
  </si>
  <si>
    <t>MÃ NGHỀ</t>
  </si>
  <si>
    <t>CNOT</t>
  </si>
  <si>
    <t>Công nghệ ô tô</t>
  </si>
  <si>
    <t>KTOT</t>
  </si>
  <si>
    <t>Công nghệ kỹ thuật ô tô</t>
  </si>
  <si>
    <t>KĐT</t>
  </si>
  <si>
    <t>Công nghệ kỹ thuật điện, điện tử</t>
  </si>
  <si>
    <t>ĐCN</t>
  </si>
  <si>
    <t>Điện công nghiệp</t>
  </si>
  <si>
    <t>LĐĐ</t>
  </si>
  <si>
    <t>Kỹ thuật lắp đặt điện và điều khiển trong công nghiệp</t>
  </si>
  <si>
    <t>KTML</t>
  </si>
  <si>
    <t>Kỹ thuật máy lạnh và điều hoà không khí</t>
  </si>
  <si>
    <t>CNTT</t>
  </si>
  <si>
    <t>Công nghệ thông tin</t>
  </si>
  <si>
    <t>CNTTU</t>
  </si>
  <si>
    <t>Công nghệ thông tin (ứng dụng phần mềm)</t>
  </si>
  <si>
    <t>KTDN</t>
  </si>
  <si>
    <t>Kế toán doanh nghiệp</t>
  </si>
  <si>
    <t>CGKL</t>
  </si>
  <si>
    <t>Cắt gọt kim loại</t>
  </si>
  <si>
    <t>HAN</t>
  </si>
  <si>
    <t>Hàn</t>
  </si>
  <si>
    <t>KTXD</t>
  </si>
  <si>
    <t>Kỹ thuật xây dựng</t>
  </si>
  <si>
    <t>MAY</t>
  </si>
  <si>
    <t>May thời trang</t>
  </si>
  <si>
    <t>VTTC</t>
  </si>
  <si>
    <t>Văn thư hành chính</t>
  </si>
  <si>
    <t>KTCB</t>
  </si>
  <si>
    <t>Kỹ thuật chế biến món ăn</t>
  </si>
  <si>
    <t>THUY</t>
  </si>
  <si>
    <t>Thú y</t>
  </si>
  <si>
    <t>BVTV</t>
  </si>
  <si>
    <t>Bảo vệ thực vật</t>
  </si>
  <si>
    <t>CBMA</t>
  </si>
  <si>
    <t>ĐTCN</t>
  </si>
  <si>
    <t>Điện tử công nghiệp</t>
  </si>
  <si>
    <t>PCMT</t>
  </si>
  <si>
    <t>Công nghệ kỹ thuật phần cứng máy tính</t>
  </si>
  <si>
    <t>CNHA</t>
  </si>
  <si>
    <t>Công nghệ hàn</t>
  </si>
  <si>
    <t>GCM</t>
  </si>
  <si>
    <t>Gia công và thiết kế sản phẩm mộc</t>
  </si>
  <si>
    <t>MTT</t>
  </si>
  <si>
    <t>VTHC</t>
  </si>
  <si>
    <t>CPCC</t>
  </si>
  <si>
    <t>Chế biến cà phê, ca cao</t>
  </si>
  <si>
    <t>CĐ.CÔNG NGHỆ Ô TÔ</t>
  </si>
  <si>
    <t>CĐ.CÔNG NGHỆ KỸ THUẬT Ô TÔ</t>
  </si>
  <si>
    <t>CĐ.CÔNG NGHỆ KỸ THUẬT ĐIỆN, ĐIỆN TỬ</t>
  </si>
  <si>
    <t>CĐ.ĐIỆN CÔNG NGHIỆP</t>
  </si>
  <si>
    <t>CĐ.KỸ THUẬT LẮP ĐẶT ĐIỆN VÀ ĐIỀU KHIỂN TRONG CÔNG NGHIỆP</t>
  </si>
  <si>
    <t>CĐ.KỸ THUẬT MÁY LẠNH VÀ ĐIỀU HOÀ KHÔNG KHÍ</t>
  </si>
  <si>
    <t>CĐ.CÔNG NGHỆ THÔNG TIN</t>
  </si>
  <si>
    <t>CĐ.CÔNG NGHỆ THÔNG TIN (ỨNG DỤNG PHẦN MỀM)</t>
  </si>
  <si>
    <t>CĐ.KẾ TOÁN DOANH NGHIỆP</t>
  </si>
  <si>
    <t>CĐ.CẮT GỌT KIM LOẠI</t>
  </si>
  <si>
    <t>CĐ.HÀN</t>
  </si>
  <si>
    <t>CĐ.KỸ THUẬT XÂY DỰNG</t>
  </si>
  <si>
    <t>CĐ.MAY THỜI TRANG</t>
  </si>
  <si>
    <t>CĐ.VĂN THƯ HÀNH CHÍNH</t>
  </si>
  <si>
    <t>CĐ.KỸ THUẬT CHẾ BIẾN MÓN ĂN</t>
  </si>
  <si>
    <t>CĐ.THÚ Y</t>
  </si>
  <si>
    <t>CĐ.BẢO VỆ THỰC VẬT</t>
  </si>
  <si>
    <t>TC.CÔNG NGHỆ Ô TÔ</t>
  </si>
  <si>
    <t>TC.ĐIỆN CÔNG NGHIỆP</t>
  </si>
  <si>
    <t>TC.KỸ THUẬT LẮP ĐẶT ĐIỆN VÀ ĐIỀU KHIỂN TRONG CÔNG NGHIỆP</t>
  </si>
  <si>
    <t>TC.KỸ THUẬT MÁY LẠNH VÀ ĐIỀU HOÀ KHÔNG KHÍ</t>
  </si>
  <si>
    <t>TC.ĐIỆN TỬ CÔNG NGHIỆP</t>
  </si>
  <si>
    <t>TC.CÔNG NGHỆ KỸ THUẬT PHẦN CỨNG MÁY TÍNH</t>
  </si>
  <si>
    <t>TC.CÔNG NGHỆ THÔNG TIN (ỨNG DỤNG PHẦN MỀM)</t>
  </si>
  <si>
    <t>TC.KẾ TOÁN DOANH NGHIỆP</t>
  </si>
  <si>
    <t>TC.CẮT GỌT KIM LOẠI</t>
  </si>
  <si>
    <t>TC.HÀN</t>
  </si>
  <si>
    <t>TC.CÔNG NGHỆ HÀN</t>
  </si>
  <si>
    <t>TC.KỸ THUẬT XÂY DỰNG</t>
  </si>
  <si>
    <t>TC.GIA CÔNG VÀ THIẾT KẾ SẢN PHẨM MỘC</t>
  </si>
  <si>
    <t>TC.MAY THỜI TRANG</t>
  </si>
  <si>
    <t>TC.VĂN THƯ HÀNH CHÍNH</t>
  </si>
  <si>
    <t>TC.CHẾ BIẾN CÀ PHÊ, CA CAO</t>
  </si>
  <si>
    <t>TC.KỸ THUẬT CHẾ BIẾN MÓN ĂN</t>
  </si>
  <si>
    <t>TC.THÚ Y</t>
  </si>
  <si>
    <t>TC.BẢO VỆ THỰC VẬT</t>
  </si>
  <si>
    <t>TC.CÔNG NGHỆ KỸ THUẬT ĐIỆN, ĐIỆN TỬ</t>
  </si>
  <si>
    <t>C.CNOT</t>
  </si>
  <si>
    <t>C.KTOT</t>
  </si>
  <si>
    <t>C.KĐT</t>
  </si>
  <si>
    <t>C.ĐCN</t>
  </si>
  <si>
    <t>C.LĐĐ</t>
  </si>
  <si>
    <t>C.KTML</t>
  </si>
  <si>
    <t>C.CNTT</t>
  </si>
  <si>
    <t>C.CNTTU</t>
  </si>
  <si>
    <t>C.KTDN</t>
  </si>
  <si>
    <t>C.CGKL</t>
  </si>
  <si>
    <t>C.HAN</t>
  </si>
  <si>
    <t>C.KTXD</t>
  </si>
  <si>
    <t>C.MAY</t>
  </si>
  <si>
    <t>C.VTTC</t>
  </si>
  <si>
    <t>C.KTCB</t>
  </si>
  <si>
    <t>C.THUY</t>
  </si>
  <si>
    <t>C.BVTV</t>
  </si>
  <si>
    <t>T.CNOT</t>
  </si>
  <si>
    <t>T.ĐCN</t>
  </si>
  <si>
    <t>T.LĐĐ</t>
  </si>
  <si>
    <t>T.KTML</t>
  </si>
  <si>
    <t>T.ĐTCN</t>
  </si>
  <si>
    <t>T.PCMT</t>
  </si>
  <si>
    <t>T.CNTT</t>
  </si>
  <si>
    <t>T.KTDN</t>
  </si>
  <si>
    <t>T.CGKL</t>
  </si>
  <si>
    <t>T.HAN</t>
  </si>
  <si>
    <t>T.CNHA</t>
  </si>
  <si>
    <t>T.KTXD</t>
  </si>
  <si>
    <t>T.GCM</t>
  </si>
  <si>
    <t>T.MTT</t>
  </si>
  <si>
    <t>T.VTHC</t>
  </si>
  <si>
    <t>T.CPCC</t>
  </si>
  <si>
    <t>T.CBMA</t>
  </si>
  <si>
    <t>T.THUY</t>
  </si>
  <si>
    <t>T.BVTV</t>
  </si>
  <si>
    <t>T.KĐT</t>
  </si>
  <si>
    <t>49T.BVTV</t>
  </si>
  <si>
    <t>BẢO VỆ THỰC VẬT</t>
  </si>
  <si>
    <t>49T.CBMA</t>
  </si>
  <si>
    <t>CHẾ BIẾN MÓN ĂN</t>
  </si>
  <si>
    <t>49T.CGKL</t>
  </si>
  <si>
    <t>CẮT GỌT KIM LOẠI</t>
  </si>
  <si>
    <t>49T.CNOT1</t>
  </si>
  <si>
    <t>CÔNG NGHỆ Ô TÔ</t>
  </si>
  <si>
    <t>49T.CNOT2</t>
  </si>
  <si>
    <t>49T.CNOT3</t>
  </si>
  <si>
    <t>49T.CNOT4</t>
  </si>
  <si>
    <t>49T.CNOT5</t>
  </si>
  <si>
    <t>49T.CNTT1</t>
  </si>
  <si>
    <t>CÔNG NGHỆ THÔNG TIN</t>
  </si>
  <si>
    <t>49T.CNTT2</t>
  </si>
  <si>
    <t>49T.CNTT3</t>
  </si>
  <si>
    <t>49T.CPCC</t>
  </si>
  <si>
    <t>CHẾ BIẾN CÀ PHÊ, CA CAO</t>
  </si>
  <si>
    <t>49T.ĐCN</t>
  </si>
  <si>
    <t>ĐIỆN CÔNG NGHIỆP</t>
  </si>
  <si>
    <t>49T.ĐTCN</t>
  </si>
  <si>
    <t>ĐIỆN TỬ CÔNG NGHIỆP</t>
  </si>
  <si>
    <t>49T.GCM</t>
  </si>
  <si>
    <t>GIA CÔNG VÀ THIẾT KẾ SẢN PHẨM MỘC</t>
  </si>
  <si>
    <t>49T.HAN1</t>
  </si>
  <si>
    <t>HÀN</t>
  </si>
  <si>
    <t>49T.HAN2</t>
  </si>
  <si>
    <t>49T.KTDN</t>
  </si>
  <si>
    <t>KẾ TOÁN DOANH NGHIỆP</t>
  </si>
  <si>
    <t>49T.KTML</t>
  </si>
  <si>
    <t>KỸ THUẬT MÁY LẠNH VÀ ĐIỀU HOÀ KHÔNG KHÍ</t>
  </si>
  <si>
    <t>49T.KTXD</t>
  </si>
  <si>
    <t>KỸ THUẬT XÂY DỰNG</t>
  </si>
  <si>
    <t>49T.LĐĐ</t>
  </si>
  <si>
    <t>KỸ THUẬT LẮP ĐẶT ĐIỆN VÀ ĐIỀU KHIỂN TRONG CÔNG NGHIỆP</t>
  </si>
  <si>
    <t>49T.MTT1</t>
  </si>
  <si>
    <t>MAY THỜI TRANG</t>
  </si>
  <si>
    <t>49T.MTT2</t>
  </si>
  <si>
    <t>49T.PCMT</t>
  </si>
  <si>
    <t>CÔNG NGHỆ KỸ THUẬT PHẦN CỨNG MÁY TÍNH</t>
  </si>
  <si>
    <t>49T.THUY</t>
  </si>
  <si>
    <t>THÚ Y</t>
  </si>
  <si>
    <t>49T.VTHC</t>
  </si>
  <si>
    <t>VĂN THƯ HÀNH CHÍNH</t>
  </si>
  <si>
    <t>49C.CNOT1</t>
  </si>
  <si>
    <t>49C.CNOT2</t>
  </si>
  <si>
    <t>49C.KTOT1</t>
  </si>
  <si>
    <t>CÔNG NGHỆ KỸ THUẬT Ô TÔ</t>
  </si>
  <si>
    <t>49C.KTOT2</t>
  </si>
  <si>
    <t>49C.ĐCN</t>
  </si>
  <si>
    <t>49C.CNTT</t>
  </si>
  <si>
    <t>49C.THUY</t>
  </si>
  <si>
    <t>49C.BVTV</t>
  </si>
  <si>
    <t>49C.KTML</t>
  </si>
  <si>
    <t>49T.LĐĐ_EASUP</t>
  </si>
  <si>
    <t>49T.MTT_EASUP</t>
  </si>
  <si>
    <t>50T.CNOT1</t>
  </si>
  <si>
    <t>50T.CNOT2</t>
  </si>
  <si>
    <t>50T.CNOT3</t>
  </si>
  <si>
    <t>50T.CNOT4</t>
  </si>
  <si>
    <t>50T.CNOT5</t>
  </si>
  <si>
    <t>50T.ĐCN1</t>
  </si>
  <si>
    <t>50T.ĐCN2</t>
  </si>
  <si>
    <t>50T.ĐTCN</t>
  </si>
  <si>
    <t>50T.KTML</t>
  </si>
  <si>
    <t>50T.LĐĐ</t>
  </si>
  <si>
    <t>50T.CNTT1</t>
  </si>
  <si>
    <t>50T.CNTT2</t>
  </si>
  <si>
    <t>50T.CNTT3</t>
  </si>
  <si>
    <t>50T.KTDN</t>
  </si>
  <si>
    <t>50T.PCMT</t>
  </si>
  <si>
    <t>50T.HAN1</t>
  </si>
  <si>
    <t>50T.HAN2</t>
  </si>
  <si>
    <t>50T.CNHA</t>
  </si>
  <si>
    <t>CÔNG NGHỆ HÀN</t>
  </si>
  <si>
    <t>50T.CGKL</t>
  </si>
  <si>
    <t>50T.KTXD</t>
  </si>
  <si>
    <t>50T.BVTV</t>
  </si>
  <si>
    <t>50T.THUY1</t>
  </si>
  <si>
    <t>50T.THUY2</t>
  </si>
  <si>
    <t>50T.CBMA</t>
  </si>
  <si>
    <t>50T.MTT1</t>
  </si>
  <si>
    <t>50T.MTT2</t>
  </si>
  <si>
    <t>50T.GCM</t>
  </si>
  <si>
    <t>50T.CPCC</t>
  </si>
  <si>
    <t>50T.VTHC</t>
  </si>
  <si>
    <t>50C.CNOT1</t>
  </si>
  <si>
    <t>50C.CNOT2</t>
  </si>
  <si>
    <t>50C.KTOT1</t>
  </si>
  <si>
    <t>50C.KTOT2</t>
  </si>
  <si>
    <t>50C.CNTT</t>
  </si>
  <si>
    <t>50C.BVTV</t>
  </si>
  <si>
    <t>50C.THUY</t>
  </si>
  <si>
    <t>50C.ĐCN</t>
  </si>
  <si>
    <t>50C.KĐT</t>
  </si>
  <si>
    <t>CÔNG NGHỆ KỸ THUẬT ĐIỆN, ĐIỆN TỬ</t>
  </si>
  <si>
    <t>50T.LĐĐ_EASUP</t>
  </si>
  <si>
    <t>50T.MTT_EASUP</t>
  </si>
  <si>
    <t>51T.CNOT1</t>
  </si>
  <si>
    <t>51T.CNOT2</t>
  </si>
  <si>
    <t>51T.CNOT3</t>
  </si>
  <si>
    <t>51T.CNOT5</t>
  </si>
  <si>
    <t>51T.CNTT1</t>
  </si>
  <si>
    <t>51T.KTDN</t>
  </si>
  <si>
    <t>51T.VTHC</t>
  </si>
  <si>
    <t>51T.CPCC</t>
  </si>
  <si>
    <t>51T.KĐT</t>
  </si>
  <si>
    <t>51T.KTXD</t>
  </si>
  <si>
    <t>51T.HAN1</t>
  </si>
  <si>
    <t>51T.HAN2</t>
  </si>
  <si>
    <t>51T.CNHA</t>
  </si>
  <si>
    <t>51T.CBMA1</t>
  </si>
  <si>
    <t>51T.CBMA2</t>
  </si>
  <si>
    <t>51T.THUY</t>
  </si>
  <si>
    <t>51T.BVTV</t>
  </si>
  <si>
    <t>51T.MTT1</t>
  </si>
  <si>
    <t>51T.MTT2</t>
  </si>
  <si>
    <t>51T.ĐCN</t>
  </si>
  <si>
    <t>51T.CNOT4</t>
  </si>
  <si>
    <t>51T.KTML</t>
  </si>
  <si>
    <t>51T.CNTT2</t>
  </si>
  <si>
    <t>51C.CNOT1</t>
  </si>
  <si>
    <t>51C.CNOT2</t>
  </si>
  <si>
    <t>51C.CNOT3</t>
  </si>
  <si>
    <t>51C.KTOT1</t>
  </si>
  <si>
    <t>51C.KTOT2</t>
  </si>
  <si>
    <t>51C.THUY1</t>
  </si>
  <si>
    <t>51C.THUY2</t>
  </si>
  <si>
    <t>51C.BVTV</t>
  </si>
  <si>
    <t>51C.ĐCN</t>
  </si>
  <si>
    <t>51C.KTML</t>
  </si>
  <si>
    <t>51C.KĐT</t>
  </si>
  <si>
    <t>51C.CNTT</t>
  </si>
  <si>
    <t>51C.CBMA</t>
  </si>
  <si>
    <t>51C.HAN</t>
  </si>
  <si>
    <t>STT</t>
  </si>
  <si>
    <t>LỚP_HỌC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</si>
</sst>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scheme val="minor"/>
    </font>
    <font>
      <b/>
      <sz val="14"/>
      <color theme="1"/>
      <name val="Times New Roman"/>
      <family val="1"/>
      <charset val="163"/>
    </font>
    <font>
      <sz val="14"/>
      <color theme="1"/>
      <name val="Times New Roman"/>
      <family val="1"/>
      <charset val="163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left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20A83E-9AFF-453D-90B8-C549E5624C6B}">
  <dimension ref="A1:E41"/>
  <sheetViews>
    <sheetView topLeftCell="A14" workbookViewId="0">
      <selection activeCell="C39" sqref="C39"/>
    </sheetView>
  </sheetViews>
  <sheetFormatPr defaultRowHeight="14.25" x14ac:dyDescent="0.2"/>
  <cols>
    <col min="1" max="1" width="20.625" style="2" customWidth="1"/>
    <col min="2" max="2" width="15.125" customWidth="1"/>
    <col min="3" max="3" width="44.125" customWidth="1"/>
    <col min="4" max="4" width="15" style="1" customWidth="1"/>
    <col min="5" max="5" width="60.875" style="1" bestFit="1" customWidth="1"/>
  </cols>
  <sheetData>
    <row r="1" spans="1:5" ht="18.75" x14ac:dyDescent="0.2">
      <c r="A1" s="4" t="s">
        <v>0</v>
      </c>
      <c r="B1" s="5" t="s">
        <v>1</v>
      </c>
      <c r="C1" s="5" t="s">
        <v>2</v>
      </c>
      <c r="D1" s="6" t="s">
        <v>3</v>
      </c>
      <c r="E1" s="5" t="s">
        <v>4</v>
      </c>
    </row>
    <row r="2" spans="1:5" ht="18.75" customHeight="1" x14ac:dyDescent="0.2">
      <c r="A2" s="7">
        <v>5620116</v>
      </c>
      <c r="B2" s="8" t="s">
        <v>38</v>
      </c>
      <c r="C2" s="8" t="s">
        <v>39</v>
      </c>
      <c r="D2" s="9" t="s">
        <v>125</v>
      </c>
      <c r="E2" s="9" t="s">
        <v>88</v>
      </c>
    </row>
    <row r="3" spans="1:5" ht="18.75" customHeight="1" x14ac:dyDescent="0.2">
      <c r="A3" s="7">
        <v>5520121</v>
      </c>
      <c r="B3" s="8" t="s">
        <v>24</v>
      </c>
      <c r="C3" s="8" t="s">
        <v>25</v>
      </c>
      <c r="D3" s="9" t="s">
        <v>115</v>
      </c>
      <c r="E3" s="9" t="s">
        <v>78</v>
      </c>
    </row>
    <row r="4" spans="1:5" ht="18.75" customHeight="1" x14ac:dyDescent="0.2">
      <c r="A4" s="7">
        <v>6510202</v>
      </c>
      <c r="B4" s="8" t="s">
        <v>8</v>
      </c>
      <c r="C4" s="8" t="s">
        <v>9</v>
      </c>
      <c r="D4" s="9" t="s">
        <v>91</v>
      </c>
      <c r="E4" s="9" t="s">
        <v>54</v>
      </c>
    </row>
    <row r="5" spans="1:5" ht="18.75" customHeight="1" x14ac:dyDescent="0.2">
      <c r="A5" s="7">
        <v>5520205</v>
      </c>
      <c r="B5" s="8" t="s">
        <v>16</v>
      </c>
      <c r="C5" s="8" t="s">
        <v>17</v>
      </c>
      <c r="D5" s="9" t="s">
        <v>110</v>
      </c>
      <c r="E5" s="9" t="s">
        <v>73</v>
      </c>
    </row>
    <row r="6" spans="1:5" ht="18.75" customHeight="1" x14ac:dyDescent="0.2">
      <c r="A6" s="7">
        <v>5540125</v>
      </c>
      <c r="B6" s="8" t="s">
        <v>51</v>
      </c>
      <c r="C6" s="8" t="s">
        <v>52</v>
      </c>
      <c r="D6" s="9" t="s">
        <v>122</v>
      </c>
      <c r="E6" s="9" t="s">
        <v>85</v>
      </c>
    </row>
    <row r="7" spans="1:5" ht="18.75" customHeight="1" x14ac:dyDescent="0.2">
      <c r="A7" s="7">
        <v>5480105</v>
      </c>
      <c r="B7" s="8" t="s">
        <v>43</v>
      </c>
      <c r="C7" s="8" t="s">
        <v>44</v>
      </c>
      <c r="D7" s="9" t="s">
        <v>112</v>
      </c>
      <c r="E7" s="9" t="s">
        <v>75</v>
      </c>
    </row>
    <row r="8" spans="1:5" ht="18.75" customHeight="1" x14ac:dyDescent="0.2">
      <c r="A8" s="7">
        <v>5480202</v>
      </c>
      <c r="B8" s="8" t="s">
        <v>18</v>
      </c>
      <c r="C8" s="8" t="s">
        <v>21</v>
      </c>
      <c r="D8" s="9" t="s">
        <v>113</v>
      </c>
      <c r="E8" s="9" t="s">
        <v>76</v>
      </c>
    </row>
    <row r="9" spans="1:5" ht="18.75" customHeight="1" x14ac:dyDescent="0.2">
      <c r="A9" s="7">
        <v>6640101</v>
      </c>
      <c r="B9" s="8" t="s">
        <v>36</v>
      </c>
      <c r="C9" s="8" t="s">
        <v>37</v>
      </c>
      <c r="D9" s="9" t="s">
        <v>105</v>
      </c>
      <c r="E9" s="9" t="s">
        <v>68</v>
      </c>
    </row>
    <row r="10" spans="1:5" ht="18.75" customHeight="1" x14ac:dyDescent="0.2">
      <c r="A10" s="7">
        <v>6540205</v>
      </c>
      <c r="B10" s="8" t="s">
        <v>30</v>
      </c>
      <c r="C10" s="8" t="s">
        <v>31</v>
      </c>
      <c r="D10" s="9" t="s">
        <v>102</v>
      </c>
      <c r="E10" s="9" t="s">
        <v>65</v>
      </c>
    </row>
    <row r="11" spans="1:5" ht="18.75" customHeight="1" x14ac:dyDescent="0.2">
      <c r="A11" s="7">
        <v>6520123</v>
      </c>
      <c r="B11" s="8" t="s">
        <v>26</v>
      </c>
      <c r="C11" s="8" t="s">
        <v>27</v>
      </c>
      <c r="D11" s="9" t="s">
        <v>100</v>
      </c>
      <c r="E11" s="9" t="s">
        <v>63</v>
      </c>
    </row>
    <row r="12" spans="1:5" ht="18.75" customHeight="1" x14ac:dyDescent="0.2">
      <c r="A12" s="7">
        <v>6520205</v>
      </c>
      <c r="B12" s="8" t="s">
        <v>16</v>
      </c>
      <c r="C12" s="8" t="s">
        <v>17</v>
      </c>
      <c r="D12" s="9" t="s">
        <v>95</v>
      </c>
      <c r="E12" s="9" t="s">
        <v>58</v>
      </c>
    </row>
    <row r="13" spans="1:5" ht="18.75" customHeight="1" x14ac:dyDescent="0.2">
      <c r="A13" s="7">
        <v>6480202</v>
      </c>
      <c r="B13" s="8" t="s">
        <v>20</v>
      </c>
      <c r="C13" s="8" t="s">
        <v>21</v>
      </c>
      <c r="D13" s="9" t="s">
        <v>97</v>
      </c>
      <c r="E13" s="9" t="s">
        <v>60</v>
      </c>
    </row>
    <row r="14" spans="1:5" ht="18.75" customHeight="1" x14ac:dyDescent="0.2">
      <c r="A14" s="7">
        <v>6520121</v>
      </c>
      <c r="B14" s="8" t="s">
        <v>24</v>
      </c>
      <c r="C14" s="8" t="s">
        <v>25</v>
      </c>
      <c r="D14" s="9" t="s">
        <v>99</v>
      </c>
      <c r="E14" s="9" t="s">
        <v>62</v>
      </c>
    </row>
    <row r="15" spans="1:5" ht="18.75" customHeight="1" x14ac:dyDescent="0.2">
      <c r="A15" s="7">
        <v>6520227</v>
      </c>
      <c r="B15" s="8" t="s">
        <v>12</v>
      </c>
      <c r="C15" s="8" t="s">
        <v>13</v>
      </c>
      <c r="D15" s="9" t="s">
        <v>93</v>
      </c>
      <c r="E15" s="9" t="s">
        <v>56</v>
      </c>
    </row>
    <row r="16" spans="1:5" ht="18.75" customHeight="1" x14ac:dyDescent="0.2">
      <c r="A16" s="7">
        <v>5520225</v>
      </c>
      <c r="B16" s="8" t="s">
        <v>41</v>
      </c>
      <c r="C16" s="8" t="s">
        <v>42</v>
      </c>
      <c r="D16" s="9" t="s">
        <v>111</v>
      </c>
      <c r="E16" s="9" t="s">
        <v>74</v>
      </c>
    </row>
    <row r="17" spans="1:5" ht="18.75" customHeight="1" x14ac:dyDescent="0.2">
      <c r="A17" s="7">
        <v>6510303</v>
      </c>
      <c r="B17" s="8" t="s">
        <v>10</v>
      </c>
      <c r="C17" s="8" t="s">
        <v>11</v>
      </c>
      <c r="D17" s="9" t="s">
        <v>92</v>
      </c>
      <c r="E17" s="9" t="s">
        <v>55</v>
      </c>
    </row>
    <row r="18" spans="1:5" ht="18.75" customHeight="1" x14ac:dyDescent="0.2">
      <c r="A18" s="7">
        <v>5340302</v>
      </c>
      <c r="B18" s="8" t="s">
        <v>22</v>
      </c>
      <c r="C18" s="8" t="s">
        <v>23</v>
      </c>
      <c r="D18" s="9" t="s">
        <v>114</v>
      </c>
      <c r="E18" s="9" t="s">
        <v>77</v>
      </c>
    </row>
    <row r="19" spans="1:5" ht="18.75" customHeight="1" x14ac:dyDescent="0.2">
      <c r="A19" s="7">
        <v>5320301</v>
      </c>
      <c r="B19" s="8" t="s">
        <v>50</v>
      </c>
      <c r="C19" s="8" t="s">
        <v>33</v>
      </c>
      <c r="D19" s="9" t="s">
        <v>121</v>
      </c>
      <c r="E19" s="9" t="s">
        <v>84</v>
      </c>
    </row>
    <row r="20" spans="1:5" ht="18.75" customHeight="1" x14ac:dyDescent="0.2">
      <c r="A20" s="7">
        <v>6340302</v>
      </c>
      <c r="B20" s="8" t="s">
        <v>22</v>
      </c>
      <c r="C20" s="8" t="s">
        <v>23</v>
      </c>
      <c r="D20" s="9" t="s">
        <v>98</v>
      </c>
      <c r="E20" s="9" t="s">
        <v>61</v>
      </c>
    </row>
    <row r="21" spans="1:5" ht="18.75" customHeight="1" x14ac:dyDescent="0.2">
      <c r="A21" s="7">
        <v>5520201</v>
      </c>
      <c r="B21" s="8" t="s">
        <v>14</v>
      </c>
      <c r="C21" s="8" t="s">
        <v>15</v>
      </c>
      <c r="D21" s="9" t="s">
        <v>109</v>
      </c>
      <c r="E21" s="9" t="s">
        <v>72</v>
      </c>
    </row>
    <row r="22" spans="1:5" ht="18.75" customHeight="1" x14ac:dyDescent="0.2">
      <c r="A22" s="7">
        <v>6810207</v>
      </c>
      <c r="B22" s="8" t="s">
        <v>34</v>
      </c>
      <c r="C22" s="8" t="s">
        <v>35</v>
      </c>
      <c r="D22" s="9" t="s">
        <v>104</v>
      </c>
      <c r="E22" s="9" t="s">
        <v>67</v>
      </c>
    </row>
    <row r="23" spans="1:5" ht="18.75" customHeight="1" x14ac:dyDescent="0.2">
      <c r="A23" s="7">
        <v>6510216</v>
      </c>
      <c r="B23" s="8" t="s">
        <v>6</v>
      </c>
      <c r="C23" s="8" t="s">
        <v>7</v>
      </c>
      <c r="D23" s="9" t="s">
        <v>90</v>
      </c>
      <c r="E23" s="9" t="s">
        <v>53</v>
      </c>
    </row>
    <row r="24" spans="1:5" ht="18.75" customHeight="1" x14ac:dyDescent="0.2">
      <c r="A24" s="7">
        <v>5210422</v>
      </c>
      <c r="B24" s="8" t="s">
        <v>47</v>
      </c>
      <c r="C24" s="8" t="s">
        <v>48</v>
      </c>
      <c r="D24" s="9" t="s">
        <v>119</v>
      </c>
      <c r="E24" s="9" t="s">
        <v>82</v>
      </c>
    </row>
    <row r="25" spans="1:5" ht="18.75" customHeight="1" x14ac:dyDescent="0.2">
      <c r="A25" s="7">
        <v>6620116</v>
      </c>
      <c r="B25" s="8" t="s">
        <v>38</v>
      </c>
      <c r="C25" s="8" t="s">
        <v>39</v>
      </c>
      <c r="D25" s="9" t="s">
        <v>106</v>
      </c>
      <c r="E25" s="9" t="s">
        <v>69</v>
      </c>
    </row>
    <row r="26" spans="1:5" ht="18.75" customHeight="1" x14ac:dyDescent="0.2">
      <c r="A26" s="7">
        <v>5540205</v>
      </c>
      <c r="B26" s="8" t="s">
        <v>49</v>
      </c>
      <c r="C26" s="8" t="s">
        <v>31</v>
      </c>
      <c r="D26" s="9" t="s">
        <v>120</v>
      </c>
      <c r="E26" s="9" t="s">
        <v>83</v>
      </c>
    </row>
    <row r="27" spans="1:5" ht="18.75" customHeight="1" x14ac:dyDescent="0.2">
      <c r="A27" s="7">
        <v>6520201</v>
      </c>
      <c r="B27" s="8" t="s">
        <v>14</v>
      </c>
      <c r="C27" s="8" t="s">
        <v>15</v>
      </c>
      <c r="D27" s="9" t="s">
        <v>94</v>
      </c>
      <c r="E27" s="9" t="s">
        <v>57</v>
      </c>
    </row>
    <row r="28" spans="1:5" ht="18.75" customHeight="1" x14ac:dyDescent="0.2">
      <c r="A28" s="7">
        <v>5580201</v>
      </c>
      <c r="B28" s="8" t="s">
        <v>28</v>
      </c>
      <c r="C28" s="8" t="s">
        <v>29</v>
      </c>
      <c r="D28" s="9" t="s">
        <v>118</v>
      </c>
      <c r="E28" s="9" t="s">
        <v>81</v>
      </c>
    </row>
    <row r="29" spans="1:5" ht="18.75" customHeight="1" x14ac:dyDescent="0.2">
      <c r="A29" s="7">
        <v>5510217</v>
      </c>
      <c r="B29" s="8" t="s">
        <v>45</v>
      </c>
      <c r="C29" s="8" t="s">
        <v>46</v>
      </c>
      <c r="D29" s="9" t="s">
        <v>117</v>
      </c>
      <c r="E29" s="9" t="s">
        <v>80</v>
      </c>
    </row>
    <row r="30" spans="1:5" ht="18.75" customHeight="1" x14ac:dyDescent="0.2">
      <c r="A30" s="7">
        <v>6480201</v>
      </c>
      <c r="B30" s="8" t="s">
        <v>18</v>
      </c>
      <c r="C30" s="8" t="s">
        <v>19</v>
      </c>
      <c r="D30" s="9" t="s">
        <v>96</v>
      </c>
      <c r="E30" s="9" t="s">
        <v>59</v>
      </c>
    </row>
    <row r="31" spans="1:5" ht="18.75" customHeight="1" x14ac:dyDescent="0.2">
      <c r="A31" s="7">
        <v>5640101</v>
      </c>
      <c r="B31" s="8" t="s">
        <v>36</v>
      </c>
      <c r="C31" s="8" t="s">
        <v>37</v>
      </c>
      <c r="D31" s="9" t="s">
        <v>124</v>
      </c>
      <c r="E31" s="9" t="s">
        <v>87</v>
      </c>
    </row>
    <row r="32" spans="1:5" ht="18.75" customHeight="1" x14ac:dyDescent="0.2">
      <c r="A32" s="7">
        <v>5520123</v>
      </c>
      <c r="B32" s="8" t="s">
        <v>26</v>
      </c>
      <c r="C32" s="8" t="s">
        <v>27</v>
      </c>
      <c r="D32" s="9" t="s">
        <v>116</v>
      </c>
      <c r="E32" s="9" t="s">
        <v>79</v>
      </c>
    </row>
    <row r="33" spans="1:5" ht="18.75" customHeight="1" x14ac:dyDescent="0.2">
      <c r="A33" s="7">
        <v>6580201</v>
      </c>
      <c r="B33" s="8" t="s">
        <v>28</v>
      </c>
      <c r="C33" s="8" t="s">
        <v>29</v>
      </c>
      <c r="D33" s="9" t="s">
        <v>101</v>
      </c>
      <c r="E33" s="9" t="s">
        <v>64</v>
      </c>
    </row>
    <row r="34" spans="1:5" ht="18.75" customHeight="1" x14ac:dyDescent="0.2">
      <c r="A34" s="7">
        <v>6320301</v>
      </c>
      <c r="B34" s="8" t="s">
        <v>32</v>
      </c>
      <c r="C34" s="8" t="s">
        <v>33</v>
      </c>
      <c r="D34" s="9" t="s">
        <v>103</v>
      </c>
      <c r="E34" s="9" t="s">
        <v>66</v>
      </c>
    </row>
    <row r="35" spans="1:5" ht="18.75" customHeight="1" x14ac:dyDescent="0.2">
      <c r="A35" s="7">
        <v>5520227</v>
      </c>
      <c r="B35" s="8" t="s">
        <v>12</v>
      </c>
      <c r="C35" s="8" t="s">
        <v>13</v>
      </c>
      <c r="D35" s="9" t="s">
        <v>108</v>
      </c>
      <c r="E35" s="9" t="s">
        <v>71</v>
      </c>
    </row>
    <row r="36" spans="1:5" ht="18.75" customHeight="1" x14ac:dyDescent="0.2">
      <c r="A36" s="7">
        <v>5810207</v>
      </c>
      <c r="B36" s="8" t="s">
        <v>40</v>
      </c>
      <c r="C36" s="8" t="s">
        <v>35</v>
      </c>
      <c r="D36" s="9" t="s">
        <v>123</v>
      </c>
      <c r="E36" s="9" t="s">
        <v>86</v>
      </c>
    </row>
    <row r="37" spans="1:5" ht="18.75" customHeight="1" x14ac:dyDescent="0.2">
      <c r="A37" s="7">
        <v>5510216</v>
      </c>
      <c r="B37" s="8" t="s">
        <v>6</v>
      </c>
      <c r="C37" s="8" t="s">
        <v>7</v>
      </c>
      <c r="D37" s="9" t="s">
        <v>107</v>
      </c>
      <c r="E37" s="9" t="s">
        <v>70</v>
      </c>
    </row>
    <row r="38" spans="1:5" ht="18.75" customHeight="1" x14ac:dyDescent="0.2">
      <c r="A38" s="7">
        <v>5510303</v>
      </c>
      <c r="B38" s="8" t="s">
        <v>10</v>
      </c>
      <c r="C38" s="8" t="s">
        <v>11</v>
      </c>
      <c r="D38" s="9" t="s">
        <v>126</v>
      </c>
      <c r="E38" s="9" t="s">
        <v>89</v>
      </c>
    </row>
    <row r="39" spans="1:5" ht="18.75" customHeight="1" x14ac:dyDescent="0.2"/>
    <row r="40" spans="1:5" ht="18.75" customHeight="1" x14ac:dyDescent="0.2"/>
    <row r="41" spans="1:5" ht="18.75" customHeight="1" x14ac:dyDescent="0.2"/>
  </sheetData>
  <pageMargins left="0.7" right="0.7" top="0.75" bottom="0.75" header="0.3" footer="0.3"/>
  <pageSetup paperSize="9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857DB-E5F3-443B-A481-D30847279F9A}">
  <dimension ref="A1:E115"/>
  <sheetViews>
    <sheetView tabSelected="1" workbookViewId="0">
      <selection activeCell="D21" sqref="D21"/>
    </sheetView>
  </sheetViews>
  <sheetFormatPr defaultRowHeight="14.25" x14ac:dyDescent="0.2"/>
  <cols>
    <col min="2" max="2" width="15.5" bestFit="1" customWidth="1"/>
    <col min="3" max="3" width="15.5" customWidth="1"/>
    <col min="4" max="4" width="57.5" bestFit="1" customWidth="1"/>
    <col min="5" max="5" width="18.75" style="3" customWidth="1"/>
  </cols>
  <sheetData>
    <row r="1" spans="1:5" ht="37.5" x14ac:dyDescent="0.2">
      <c r="A1" s="10" t="s">
        <v>262</v>
      </c>
      <c r="B1" s="10" t="s">
        <v>263</v>
      </c>
      <c r="C1" s="10" t="s">
        <v>1</v>
      </c>
      <c r="D1" s="10" t="s">
        <v>2</v>
      </c>
      <c r="E1" s="10" t="s">
        <v>5</v>
      </c>
    </row>
    <row r="2" spans="1:5" ht="18.75" x14ac:dyDescent="0.3">
      <c r="A2" s="11">
        <v>1</v>
      </c>
      <c r="B2" s="8" t="s">
        <v>127</v>
      </c>
      <c r="C2" s="8" t="s">
        <v>38</v>
      </c>
      <c r="D2" s="8" t="s">
        <v>128</v>
      </c>
      <c r="E2" s="12" t="str">
        <f>LEFT(B2,2)&amp;"_"&amp;INDEX(MA_NGHE!A:A,MATCH(TEN_LOP!C2,MA_NGHE!B:B,0),1)&amp;"_"&amp;IF(ISNUMBER(MATCH(RIGHT(B2,1), {"1","2","3","4","5"}, 0)), RIGHT(B2,1), "0")</f>
        <v>49_5620116_0</v>
      </c>
    </row>
    <row r="3" spans="1:5" ht="18.75" x14ac:dyDescent="0.3">
      <c r="A3" s="11">
        <v>2</v>
      </c>
      <c r="B3" s="8" t="s">
        <v>129</v>
      </c>
      <c r="C3" s="8" t="s">
        <v>40</v>
      </c>
      <c r="D3" s="8" t="s">
        <v>130</v>
      </c>
      <c r="E3" s="12" t="str">
        <f>LEFT(B3,2)&amp;"_"&amp;INDEX(MA_NGHE!A:A,MATCH(TEN_LOP!C3,MA_NGHE!B:B,0),1)&amp;"_"&amp;IF(ISNUMBER(MATCH(RIGHT(B3,1), {"1","2","3","4","5"}, 0)), RIGHT(B3,1), "0")</f>
        <v>49_5810207_0</v>
      </c>
    </row>
    <row r="4" spans="1:5" ht="18.75" x14ac:dyDescent="0.3">
      <c r="A4" s="11">
        <v>3</v>
      </c>
      <c r="B4" s="8" t="s">
        <v>131</v>
      </c>
      <c r="C4" s="8" t="s">
        <v>24</v>
      </c>
      <c r="D4" s="8" t="s">
        <v>132</v>
      </c>
      <c r="E4" s="12" t="str">
        <f>LEFT(B4,2)&amp;"_"&amp;INDEX(MA_NGHE!A:A,MATCH(TEN_LOP!C4,MA_NGHE!B:B,0),1)&amp;"_"&amp;IF(ISNUMBER(MATCH(RIGHT(B4,1), {"1","2","3","4","5"}, 0)), RIGHT(B4,1), "0")</f>
        <v>49_5520121_0</v>
      </c>
    </row>
    <row r="5" spans="1:5" ht="18.75" x14ac:dyDescent="0.3">
      <c r="A5" s="11">
        <v>4</v>
      </c>
      <c r="B5" s="8" t="s">
        <v>133</v>
      </c>
      <c r="C5" s="8" t="s">
        <v>6</v>
      </c>
      <c r="D5" s="8" t="s">
        <v>134</v>
      </c>
      <c r="E5" s="12" t="str">
        <f>LEFT(B5,2)&amp;"_"&amp;INDEX(MA_NGHE!A:A,MATCH(TEN_LOP!C5,MA_NGHE!B:B,0),1)&amp;"_"&amp;IF(ISNUMBER(MATCH(RIGHT(B5,1), {"1","2","3","4","5"}, 0)), RIGHT(B5,1), "0")</f>
        <v>49_6510216_1</v>
      </c>
    </row>
    <row r="6" spans="1:5" ht="18.75" x14ac:dyDescent="0.3">
      <c r="A6" s="11">
        <v>5</v>
      </c>
      <c r="B6" s="8" t="s">
        <v>135</v>
      </c>
      <c r="C6" s="8" t="s">
        <v>6</v>
      </c>
      <c r="D6" s="8" t="s">
        <v>134</v>
      </c>
      <c r="E6" s="12" t="str">
        <f>LEFT(B6,2)&amp;"_"&amp;INDEX(MA_NGHE!A:A,MATCH(TEN_LOP!C6,MA_NGHE!B:B,0),1)&amp;"_"&amp;IF(ISNUMBER(MATCH(RIGHT(B6,1), {"1","2","3","4","5"}, 0)), RIGHT(B6,1), "0")</f>
        <v>49_6510216_2</v>
      </c>
    </row>
    <row r="7" spans="1:5" ht="18.75" x14ac:dyDescent="0.3">
      <c r="A7" s="11">
        <v>6</v>
      </c>
      <c r="B7" s="8" t="s">
        <v>136</v>
      </c>
      <c r="C7" s="8" t="s">
        <v>6</v>
      </c>
      <c r="D7" s="8" t="s">
        <v>134</v>
      </c>
      <c r="E7" s="12" t="str">
        <f>LEFT(B7,2)&amp;"_"&amp;INDEX(MA_NGHE!A:A,MATCH(TEN_LOP!C7,MA_NGHE!B:B,0),1)&amp;"_"&amp;IF(ISNUMBER(MATCH(RIGHT(B7,1), {"1","2","3","4","5"}, 0)), RIGHT(B7,1), "0")</f>
        <v>49_6510216_3</v>
      </c>
    </row>
    <row r="8" spans="1:5" ht="18.75" x14ac:dyDescent="0.3">
      <c r="A8" s="11">
        <v>7</v>
      </c>
      <c r="B8" s="8" t="s">
        <v>137</v>
      </c>
      <c r="C8" s="8" t="s">
        <v>6</v>
      </c>
      <c r="D8" s="8" t="s">
        <v>134</v>
      </c>
      <c r="E8" s="12" t="str">
        <f>LEFT(B8,2)&amp;"_"&amp;INDEX(MA_NGHE!A:A,MATCH(TEN_LOP!C8,MA_NGHE!B:B,0),1)&amp;"_"&amp;IF(ISNUMBER(MATCH(RIGHT(B8,1), {"1","2","3","4","5"}, 0)), RIGHT(B8,1), "0")</f>
        <v>49_6510216_4</v>
      </c>
    </row>
    <row r="9" spans="1:5" ht="18.75" x14ac:dyDescent="0.3">
      <c r="A9" s="11">
        <v>8</v>
      </c>
      <c r="B9" s="8" t="s">
        <v>138</v>
      </c>
      <c r="C9" s="8" t="s">
        <v>6</v>
      </c>
      <c r="D9" s="8" t="s">
        <v>134</v>
      </c>
      <c r="E9" s="12" t="str">
        <f>LEFT(B9,2)&amp;"_"&amp;INDEX(MA_NGHE!A:A,MATCH(TEN_LOP!C9,MA_NGHE!B:B,0),1)&amp;"_"&amp;IF(ISNUMBER(MATCH(RIGHT(B9,1), {"1","2","3","4","5"}, 0)), RIGHT(B9,1), "0")</f>
        <v>49_6510216_5</v>
      </c>
    </row>
    <row r="10" spans="1:5" ht="18.75" x14ac:dyDescent="0.3">
      <c r="A10" s="11">
        <v>9</v>
      </c>
      <c r="B10" s="8" t="s">
        <v>139</v>
      </c>
      <c r="C10" s="8" t="s">
        <v>18</v>
      </c>
      <c r="D10" s="8" t="s">
        <v>140</v>
      </c>
      <c r="E10" s="12" t="str">
        <f>LEFT(B10,2)&amp;"_"&amp;INDEX(MA_NGHE!A:A,MATCH(TEN_LOP!C10,MA_NGHE!B:B,0),1)&amp;"_"&amp;IF(ISNUMBER(MATCH(RIGHT(B10,1), {"1","2","3","4","5"}, 0)), RIGHT(B10,1), "0")</f>
        <v>49_5480202_1</v>
      </c>
    </row>
    <row r="11" spans="1:5" ht="18.75" x14ac:dyDescent="0.3">
      <c r="A11" s="11">
        <v>10</v>
      </c>
      <c r="B11" s="8" t="s">
        <v>141</v>
      </c>
      <c r="C11" s="8" t="s">
        <v>18</v>
      </c>
      <c r="D11" s="8" t="s">
        <v>140</v>
      </c>
      <c r="E11" s="12" t="str">
        <f>LEFT(B11,2)&amp;"_"&amp;INDEX(MA_NGHE!A:A,MATCH(TEN_LOP!C11,MA_NGHE!B:B,0),1)&amp;"_"&amp;IF(ISNUMBER(MATCH(RIGHT(B11,1), {"1","2","3","4","5"}, 0)), RIGHT(B11,1), "0")</f>
        <v>49_5480202_2</v>
      </c>
    </row>
    <row r="12" spans="1:5" ht="18.75" x14ac:dyDescent="0.3">
      <c r="A12" s="11">
        <v>11</v>
      </c>
      <c r="B12" s="8" t="s">
        <v>142</v>
      </c>
      <c r="C12" s="8" t="s">
        <v>18</v>
      </c>
      <c r="D12" s="8" t="s">
        <v>140</v>
      </c>
      <c r="E12" s="12" t="str">
        <f>LEFT(B12,2)&amp;"_"&amp;INDEX(MA_NGHE!A:A,MATCH(TEN_LOP!C12,MA_NGHE!B:B,0),1)&amp;"_"&amp;IF(ISNUMBER(MATCH(RIGHT(B12,1), {"1","2","3","4","5"}, 0)), RIGHT(B12,1), "0")</f>
        <v>49_5480202_3</v>
      </c>
    </row>
    <row r="13" spans="1:5" ht="18.75" x14ac:dyDescent="0.3">
      <c r="A13" s="11">
        <v>12</v>
      </c>
      <c r="B13" s="8" t="s">
        <v>143</v>
      </c>
      <c r="C13" s="8" t="s">
        <v>51</v>
      </c>
      <c r="D13" s="8" t="s">
        <v>144</v>
      </c>
      <c r="E13" s="12" t="str">
        <f>LEFT(B13,2)&amp;"_"&amp;INDEX(MA_NGHE!A:A,MATCH(TEN_LOP!C13,MA_NGHE!B:B,0),1)&amp;"_"&amp;IF(ISNUMBER(MATCH(RIGHT(B13,1), {"1","2","3","4","5"}, 0)), RIGHT(B13,1), "0")</f>
        <v>49_5540125_0</v>
      </c>
    </row>
    <row r="14" spans="1:5" ht="18.75" x14ac:dyDescent="0.3">
      <c r="A14" s="11">
        <v>13</v>
      </c>
      <c r="B14" s="8" t="s">
        <v>145</v>
      </c>
      <c r="C14" s="8" t="s">
        <v>12</v>
      </c>
      <c r="D14" s="8" t="s">
        <v>146</v>
      </c>
      <c r="E14" s="12" t="str">
        <f>LEFT(B14,2)&amp;"_"&amp;INDEX(MA_NGHE!A:A,MATCH(TEN_LOP!C14,MA_NGHE!B:B,0),1)&amp;"_"&amp;IF(ISNUMBER(MATCH(RIGHT(B14,1), {"1","2","3","4","5"}, 0)), RIGHT(B14,1), "0")</f>
        <v>49_6520227_0</v>
      </c>
    </row>
    <row r="15" spans="1:5" ht="18.75" x14ac:dyDescent="0.3">
      <c r="A15" s="11">
        <v>14</v>
      </c>
      <c r="B15" s="8" t="s">
        <v>147</v>
      </c>
      <c r="C15" s="8" t="s">
        <v>41</v>
      </c>
      <c r="D15" s="8" t="s">
        <v>148</v>
      </c>
      <c r="E15" s="12" t="str">
        <f>LEFT(B15,2)&amp;"_"&amp;INDEX(MA_NGHE!A:A,MATCH(TEN_LOP!C15,MA_NGHE!B:B,0),1)&amp;"_"&amp;IF(ISNUMBER(MATCH(RIGHT(B15,1), {"1","2","3","4","5"}, 0)), RIGHT(B15,1), "0")</f>
        <v>49_5520225_0</v>
      </c>
    </row>
    <row r="16" spans="1:5" ht="18.75" x14ac:dyDescent="0.3">
      <c r="A16" s="11">
        <v>15</v>
      </c>
      <c r="B16" s="8" t="s">
        <v>149</v>
      </c>
      <c r="C16" s="8" t="s">
        <v>47</v>
      </c>
      <c r="D16" s="8" t="s">
        <v>150</v>
      </c>
      <c r="E16" s="12" t="str">
        <f>LEFT(B16,2)&amp;"_"&amp;INDEX(MA_NGHE!A:A,MATCH(TEN_LOP!C16,MA_NGHE!B:B,0),1)&amp;"_"&amp;IF(ISNUMBER(MATCH(RIGHT(B16,1), {"1","2","3","4","5"}, 0)), RIGHT(B16,1), "0")</f>
        <v>49_5210422_0</v>
      </c>
    </row>
    <row r="17" spans="1:5" ht="18.75" x14ac:dyDescent="0.3">
      <c r="A17" s="11">
        <v>16</v>
      </c>
      <c r="B17" s="8" t="s">
        <v>151</v>
      </c>
      <c r="C17" s="8" t="s">
        <v>26</v>
      </c>
      <c r="D17" s="8" t="s">
        <v>152</v>
      </c>
      <c r="E17" s="12" t="str">
        <f>LEFT(B17,2)&amp;"_"&amp;INDEX(MA_NGHE!A:A,MATCH(TEN_LOP!C17,MA_NGHE!B:B,0),1)&amp;"_"&amp;IF(ISNUMBER(MATCH(RIGHT(B17,1), {"1","2","3","4","5"}, 0)), RIGHT(B17,1), "0")</f>
        <v>49_6520123_1</v>
      </c>
    </row>
    <row r="18" spans="1:5" ht="18.75" x14ac:dyDescent="0.3">
      <c r="A18" s="11">
        <v>17</v>
      </c>
      <c r="B18" s="8" t="s">
        <v>153</v>
      </c>
      <c r="C18" s="8" t="s">
        <v>26</v>
      </c>
      <c r="D18" s="8" t="s">
        <v>152</v>
      </c>
      <c r="E18" s="12" t="str">
        <f>LEFT(B18,2)&amp;"_"&amp;INDEX(MA_NGHE!A:A,MATCH(TEN_LOP!C18,MA_NGHE!B:B,0),1)&amp;"_"&amp;IF(ISNUMBER(MATCH(RIGHT(B18,1), {"1","2","3","4","5"}, 0)), RIGHT(B18,1), "0")</f>
        <v>49_6520123_2</v>
      </c>
    </row>
    <row r="19" spans="1:5" ht="18.75" x14ac:dyDescent="0.3">
      <c r="A19" s="11">
        <v>18</v>
      </c>
      <c r="B19" s="8" t="s">
        <v>154</v>
      </c>
      <c r="C19" s="8" t="s">
        <v>22</v>
      </c>
      <c r="D19" s="8" t="s">
        <v>155</v>
      </c>
      <c r="E19" s="12" t="str">
        <f>LEFT(B19,2)&amp;"_"&amp;INDEX(MA_NGHE!A:A,MATCH(TEN_LOP!C19,MA_NGHE!B:B,0),1)&amp;"_"&amp;IF(ISNUMBER(MATCH(RIGHT(B19,1), {"1","2","3","4","5"}, 0)), RIGHT(B19,1), "0")</f>
        <v>49_5340302_0</v>
      </c>
    </row>
    <row r="20" spans="1:5" ht="18.75" x14ac:dyDescent="0.3">
      <c r="A20" s="11">
        <v>19</v>
      </c>
      <c r="B20" s="8" t="s">
        <v>156</v>
      </c>
      <c r="C20" s="8" t="s">
        <v>16</v>
      </c>
      <c r="D20" s="8" t="s">
        <v>157</v>
      </c>
      <c r="E20" s="12" t="str">
        <f>LEFT(B20,2)&amp;"_"&amp;INDEX(MA_NGHE!A:A,MATCH(TEN_LOP!C20,MA_NGHE!B:B,0),1)&amp;"_"&amp;IF(ISNUMBER(MATCH(RIGHT(B20,1), {"1","2","3","4","5"}, 0)), RIGHT(B20,1), "0")</f>
        <v>49_5520205_0</v>
      </c>
    </row>
    <row r="21" spans="1:5" ht="18.75" x14ac:dyDescent="0.3">
      <c r="A21" s="11">
        <v>20</v>
      </c>
      <c r="B21" s="8" t="s">
        <v>158</v>
      </c>
      <c r="C21" s="8" t="s">
        <v>28</v>
      </c>
      <c r="D21" s="8" t="s">
        <v>159</v>
      </c>
      <c r="E21" s="12" t="str">
        <f>LEFT(B21,2)&amp;"_"&amp;INDEX(MA_NGHE!A:A,MATCH(TEN_LOP!C21,MA_NGHE!B:B,0),1)&amp;"_"&amp;IF(ISNUMBER(MATCH(RIGHT(B21,1), {"1","2","3","4","5"}, 0)), RIGHT(B21,1), "0")</f>
        <v>49_5580201_0</v>
      </c>
    </row>
    <row r="22" spans="1:5" ht="18.75" x14ac:dyDescent="0.3">
      <c r="A22" s="11">
        <v>21</v>
      </c>
      <c r="B22" s="8" t="s">
        <v>160</v>
      </c>
      <c r="C22" s="8" t="s">
        <v>14</v>
      </c>
      <c r="D22" s="8" t="s">
        <v>161</v>
      </c>
      <c r="E22" s="12" t="str">
        <f>LEFT(B22,2)&amp;"_"&amp;INDEX(MA_NGHE!A:A,MATCH(TEN_LOP!C22,MA_NGHE!B:B,0),1)&amp;"_"&amp;IF(ISNUMBER(MATCH(RIGHT(B22,1), {"1","2","3","4","5"}, 0)), RIGHT(B22,1), "0")</f>
        <v>49_5520201_0</v>
      </c>
    </row>
    <row r="23" spans="1:5" ht="18.75" x14ac:dyDescent="0.3">
      <c r="A23" s="11">
        <v>22</v>
      </c>
      <c r="B23" s="8" t="s">
        <v>162</v>
      </c>
      <c r="C23" s="8" t="s">
        <v>49</v>
      </c>
      <c r="D23" s="8" t="s">
        <v>163</v>
      </c>
      <c r="E23" s="12" t="str">
        <f>LEFT(B23,2)&amp;"_"&amp;INDEX(MA_NGHE!A:A,MATCH(TEN_LOP!C23,MA_NGHE!B:B,0),1)&amp;"_"&amp;IF(ISNUMBER(MATCH(RIGHT(B23,1), {"1","2","3","4","5"}, 0)), RIGHT(B23,1), "0")</f>
        <v>49_5540205_1</v>
      </c>
    </row>
    <row r="24" spans="1:5" ht="18.75" x14ac:dyDescent="0.3">
      <c r="A24" s="11">
        <v>23</v>
      </c>
      <c r="B24" s="8" t="s">
        <v>164</v>
      </c>
      <c r="C24" s="8" t="s">
        <v>49</v>
      </c>
      <c r="D24" s="8" t="s">
        <v>163</v>
      </c>
      <c r="E24" s="12" t="str">
        <f>LEFT(B24,2)&amp;"_"&amp;INDEX(MA_NGHE!A:A,MATCH(TEN_LOP!C24,MA_NGHE!B:B,0),1)&amp;"_"&amp;IF(ISNUMBER(MATCH(RIGHT(B24,1), {"1","2","3","4","5"}, 0)), RIGHT(B24,1), "0")</f>
        <v>49_5540205_2</v>
      </c>
    </row>
    <row r="25" spans="1:5" ht="18.75" x14ac:dyDescent="0.3">
      <c r="A25" s="11">
        <v>24</v>
      </c>
      <c r="B25" s="8" t="s">
        <v>165</v>
      </c>
      <c r="C25" s="8" t="s">
        <v>43</v>
      </c>
      <c r="D25" s="8" t="s">
        <v>166</v>
      </c>
      <c r="E25" s="12" t="str">
        <f>LEFT(B25,2)&amp;"_"&amp;INDEX(MA_NGHE!A:A,MATCH(TEN_LOP!C25,MA_NGHE!B:B,0),1)&amp;"_"&amp;IF(ISNUMBER(MATCH(RIGHT(B25,1), {"1","2","3","4","5"}, 0)), RIGHT(B25,1), "0")</f>
        <v>49_5480105_0</v>
      </c>
    </row>
    <row r="26" spans="1:5" ht="18.75" x14ac:dyDescent="0.3">
      <c r="A26" s="11">
        <v>25</v>
      </c>
      <c r="B26" s="8" t="s">
        <v>167</v>
      </c>
      <c r="C26" s="8" t="s">
        <v>36</v>
      </c>
      <c r="D26" s="8" t="s">
        <v>168</v>
      </c>
      <c r="E26" s="12" t="str">
        <f>LEFT(B26,2)&amp;"_"&amp;INDEX(MA_NGHE!A:A,MATCH(TEN_LOP!C26,MA_NGHE!B:B,0),1)&amp;"_"&amp;IF(ISNUMBER(MATCH(RIGHT(B26,1), {"1","2","3","4","5"}, 0)), RIGHT(B26,1), "0")</f>
        <v>49_6640101_0</v>
      </c>
    </row>
    <row r="27" spans="1:5" ht="18.75" x14ac:dyDescent="0.3">
      <c r="A27" s="11">
        <v>26</v>
      </c>
      <c r="B27" s="8" t="s">
        <v>169</v>
      </c>
      <c r="C27" s="8" t="s">
        <v>50</v>
      </c>
      <c r="D27" s="8" t="s">
        <v>170</v>
      </c>
      <c r="E27" s="12" t="str">
        <f>LEFT(B27,2)&amp;"_"&amp;INDEX(MA_NGHE!A:A,MATCH(TEN_LOP!C27,MA_NGHE!B:B,0),1)&amp;"_"&amp;IF(ISNUMBER(MATCH(RIGHT(B27,1), {"1","2","3","4","5"}, 0)), RIGHT(B27,1), "0")</f>
        <v>49_5320301_0</v>
      </c>
    </row>
    <row r="28" spans="1:5" ht="18.75" x14ac:dyDescent="0.3">
      <c r="A28" s="11">
        <v>27</v>
      </c>
      <c r="B28" s="8" t="s">
        <v>171</v>
      </c>
      <c r="C28" s="8" t="s">
        <v>6</v>
      </c>
      <c r="D28" s="8" t="s">
        <v>134</v>
      </c>
      <c r="E28" s="12" t="str">
        <f>LEFT(B28,2)&amp;"_"&amp;INDEX(MA_NGHE!A:A,MATCH(TEN_LOP!C28,MA_NGHE!B:B,0),1)&amp;"_"&amp;IF(ISNUMBER(MATCH(RIGHT(B28,1), {"1","2","3","4","5"}, 0)), RIGHT(B28,1), "0")</f>
        <v>49_6510216_1</v>
      </c>
    </row>
    <row r="29" spans="1:5" ht="18.75" x14ac:dyDescent="0.3">
      <c r="A29" s="11">
        <v>28</v>
      </c>
      <c r="B29" s="8" t="s">
        <v>172</v>
      </c>
      <c r="C29" s="8" t="s">
        <v>6</v>
      </c>
      <c r="D29" s="8" t="s">
        <v>134</v>
      </c>
      <c r="E29" s="12" t="str">
        <f>LEFT(B29,2)&amp;"_"&amp;INDEX(MA_NGHE!A:A,MATCH(TEN_LOP!C29,MA_NGHE!B:B,0),1)&amp;"_"&amp;IF(ISNUMBER(MATCH(RIGHT(B29,1), {"1","2","3","4","5"}, 0)), RIGHT(B29,1), "0")</f>
        <v>49_6510216_2</v>
      </c>
    </row>
    <row r="30" spans="1:5" ht="18.75" x14ac:dyDescent="0.3">
      <c r="A30" s="11">
        <v>29</v>
      </c>
      <c r="B30" s="8" t="s">
        <v>173</v>
      </c>
      <c r="C30" s="8" t="s">
        <v>8</v>
      </c>
      <c r="D30" s="8" t="s">
        <v>174</v>
      </c>
      <c r="E30" s="12" t="str">
        <f>LEFT(B30,2)&amp;"_"&amp;INDEX(MA_NGHE!A:A,MATCH(TEN_LOP!C30,MA_NGHE!B:B,0),1)&amp;"_"&amp;IF(ISNUMBER(MATCH(RIGHT(B30,1), {"1","2","3","4","5"}, 0)), RIGHT(B30,1), "0")</f>
        <v>49_6510202_1</v>
      </c>
    </row>
    <row r="31" spans="1:5" ht="18.75" x14ac:dyDescent="0.3">
      <c r="A31" s="11">
        <v>30</v>
      </c>
      <c r="B31" s="8" t="s">
        <v>175</v>
      </c>
      <c r="C31" s="8" t="s">
        <v>8</v>
      </c>
      <c r="D31" s="8" t="s">
        <v>174</v>
      </c>
      <c r="E31" s="12" t="str">
        <f>LEFT(B31,2)&amp;"_"&amp;INDEX(MA_NGHE!A:A,MATCH(TEN_LOP!C31,MA_NGHE!B:B,0),1)&amp;"_"&amp;IF(ISNUMBER(MATCH(RIGHT(B31,1), {"1","2","3","4","5"}, 0)), RIGHT(B31,1), "0")</f>
        <v>49_6510202_2</v>
      </c>
    </row>
    <row r="32" spans="1:5" ht="18.75" x14ac:dyDescent="0.3">
      <c r="A32" s="11">
        <v>31</v>
      </c>
      <c r="B32" s="8" t="s">
        <v>176</v>
      </c>
      <c r="C32" s="8" t="s">
        <v>12</v>
      </c>
      <c r="D32" s="8" t="s">
        <v>146</v>
      </c>
      <c r="E32" s="12" t="str">
        <f>LEFT(B32,2)&amp;"_"&amp;INDEX(MA_NGHE!A:A,MATCH(TEN_LOP!C32,MA_NGHE!B:B,0),1)&amp;"_"&amp;IF(ISNUMBER(MATCH(RIGHT(B32,1), {"1","2","3","4","5"}, 0)), RIGHT(B32,1), "0")</f>
        <v>49_6520227_0</v>
      </c>
    </row>
    <row r="33" spans="1:5" ht="18.75" x14ac:dyDescent="0.3">
      <c r="A33" s="11">
        <v>32</v>
      </c>
      <c r="B33" s="8" t="s">
        <v>177</v>
      </c>
      <c r="C33" s="8" t="s">
        <v>18</v>
      </c>
      <c r="D33" s="8" t="s">
        <v>140</v>
      </c>
      <c r="E33" s="12" t="str">
        <f>LEFT(B33,2)&amp;"_"&amp;INDEX(MA_NGHE!A:A,MATCH(TEN_LOP!C33,MA_NGHE!B:B,0),1)&amp;"_"&amp;IF(ISNUMBER(MATCH(RIGHT(B33,1), {"1","2","3","4","5"}, 0)), RIGHT(B33,1), "0")</f>
        <v>49_5480202_0</v>
      </c>
    </row>
    <row r="34" spans="1:5" ht="18.75" x14ac:dyDescent="0.3">
      <c r="A34" s="11">
        <v>33</v>
      </c>
      <c r="B34" s="8" t="s">
        <v>178</v>
      </c>
      <c r="C34" s="8" t="s">
        <v>36</v>
      </c>
      <c r="D34" s="8" t="s">
        <v>168</v>
      </c>
      <c r="E34" s="12" t="str">
        <f>LEFT(B34,2)&amp;"_"&amp;INDEX(MA_NGHE!A:A,MATCH(TEN_LOP!C34,MA_NGHE!B:B,0),1)&amp;"_"&amp;IF(ISNUMBER(MATCH(RIGHT(B34,1), {"1","2","3","4","5"}, 0)), RIGHT(B34,1), "0")</f>
        <v>49_6640101_0</v>
      </c>
    </row>
    <row r="35" spans="1:5" ht="18.75" x14ac:dyDescent="0.3">
      <c r="A35" s="11">
        <v>34</v>
      </c>
      <c r="B35" s="8" t="s">
        <v>179</v>
      </c>
      <c r="C35" s="8" t="s">
        <v>38</v>
      </c>
      <c r="D35" s="8" t="s">
        <v>128</v>
      </c>
      <c r="E35" s="12" t="str">
        <f>LEFT(B35,2)&amp;"_"&amp;INDEX(MA_NGHE!A:A,MATCH(TEN_LOP!C35,MA_NGHE!B:B,0),1)&amp;"_"&amp;IF(ISNUMBER(MATCH(RIGHT(B35,1), {"1","2","3","4","5"}, 0)), RIGHT(B35,1), "0")</f>
        <v>49_5620116_0</v>
      </c>
    </row>
    <row r="36" spans="1:5" ht="18.75" x14ac:dyDescent="0.3">
      <c r="A36" s="11">
        <v>35</v>
      </c>
      <c r="B36" s="8" t="s">
        <v>180</v>
      </c>
      <c r="C36" s="8" t="s">
        <v>16</v>
      </c>
      <c r="D36" s="8" t="s">
        <v>157</v>
      </c>
      <c r="E36" s="12" t="str">
        <f>LEFT(B36,2)&amp;"_"&amp;INDEX(MA_NGHE!A:A,MATCH(TEN_LOP!C36,MA_NGHE!B:B,0),1)&amp;"_"&amp;IF(ISNUMBER(MATCH(RIGHT(B36,1), {"1","2","3","4","5"}, 0)), RIGHT(B36,1), "0")</f>
        <v>49_5520205_0</v>
      </c>
    </row>
    <row r="37" spans="1:5" ht="18.75" x14ac:dyDescent="0.3">
      <c r="A37" s="11">
        <v>36</v>
      </c>
      <c r="B37" s="8" t="s">
        <v>181</v>
      </c>
      <c r="C37" s="8" t="s">
        <v>14</v>
      </c>
      <c r="D37" s="8" t="s">
        <v>161</v>
      </c>
      <c r="E37" s="12" t="str">
        <f>LEFT(B37,2)&amp;"_"&amp;INDEX(MA_NGHE!A:A,MATCH(TEN_LOP!C37,MA_NGHE!B:B,0),1)&amp;"_"&amp;IF(ISNUMBER(MATCH(RIGHT(B37,1), {"1","2","3","4","5"}, 0)), RIGHT(B37,1), "0")</f>
        <v>49_5520201_0</v>
      </c>
    </row>
    <row r="38" spans="1:5" ht="18.75" x14ac:dyDescent="0.3">
      <c r="A38" s="11">
        <v>37</v>
      </c>
      <c r="B38" s="8" t="s">
        <v>182</v>
      </c>
      <c r="C38" s="8" t="s">
        <v>49</v>
      </c>
      <c r="D38" s="8" t="s">
        <v>163</v>
      </c>
      <c r="E38" s="12" t="str">
        <f>LEFT(B38,2)&amp;"_"&amp;INDEX(MA_NGHE!A:A,MATCH(TEN_LOP!C38,MA_NGHE!B:B,0),1)&amp;"_"&amp;IF(ISNUMBER(MATCH(RIGHT(B38,1), {"1","2","3","4","5"}, 0)), RIGHT(B38,1), "0")</f>
        <v>49_5540205_0</v>
      </c>
    </row>
    <row r="39" spans="1:5" ht="18.75" x14ac:dyDescent="0.3">
      <c r="A39" s="11">
        <v>38</v>
      </c>
      <c r="B39" s="8" t="s">
        <v>183</v>
      </c>
      <c r="C39" s="8" t="s">
        <v>6</v>
      </c>
      <c r="D39" s="8" t="s">
        <v>134</v>
      </c>
      <c r="E39" s="12" t="str">
        <f>LEFT(B39,2)&amp;"_"&amp;INDEX(MA_NGHE!A:A,MATCH(TEN_LOP!C39,MA_NGHE!B:B,0),1)&amp;"_"&amp;IF(ISNUMBER(MATCH(RIGHT(B39,1), {"1","2","3","4","5"}, 0)), RIGHT(B39,1), "0")</f>
        <v>50_6510216_1</v>
      </c>
    </row>
    <row r="40" spans="1:5" ht="18.75" x14ac:dyDescent="0.3">
      <c r="A40" s="11">
        <v>39</v>
      </c>
      <c r="B40" s="8" t="s">
        <v>184</v>
      </c>
      <c r="C40" s="8" t="s">
        <v>6</v>
      </c>
      <c r="D40" s="8" t="s">
        <v>134</v>
      </c>
      <c r="E40" s="12" t="str">
        <f>LEFT(B40,2)&amp;"_"&amp;INDEX(MA_NGHE!A:A,MATCH(TEN_LOP!C40,MA_NGHE!B:B,0),1)&amp;"_"&amp;IF(ISNUMBER(MATCH(RIGHT(B40,1), {"1","2","3","4","5"}, 0)), RIGHT(B40,1), "0")</f>
        <v>50_6510216_2</v>
      </c>
    </row>
    <row r="41" spans="1:5" ht="18.75" x14ac:dyDescent="0.3">
      <c r="A41" s="11">
        <v>40</v>
      </c>
      <c r="B41" s="8" t="s">
        <v>185</v>
      </c>
      <c r="C41" s="8" t="s">
        <v>6</v>
      </c>
      <c r="D41" s="8" t="s">
        <v>134</v>
      </c>
      <c r="E41" s="12" t="str">
        <f>LEFT(B41,2)&amp;"_"&amp;INDEX(MA_NGHE!A:A,MATCH(TEN_LOP!C41,MA_NGHE!B:B,0),1)&amp;"_"&amp;IF(ISNUMBER(MATCH(RIGHT(B41,1), {"1","2","3","4","5"}, 0)), RIGHT(B41,1), "0")</f>
        <v>50_6510216_3</v>
      </c>
    </row>
    <row r="42" spans="1:5" ht="18.75" x14ac:dyDescent="0.3">
      <c r="A42" s="11">
        <v>41</v>
      </c>
      <c r="B42" s="8" t="s">
        <v>186</v>
      </c>
      <c r="C42" s="8" t="s">
        <v>6</v>
      </c>
      <c r="D42" s="8" t="s">
        <v>134</v>
      </c>
      <c r="E42" s="12" t="str">
        <f>LEFT(B42,2)&amp;"_"&amp;INDEX(MA_NGHE!A:A,MATCH(TEN_LOP!C42,MA_NGHE!B:B,0),1)&amp;"_"&amp;IF(ISNUMBER(MATCH(RIGHT(B42,1), {"1","2","3","4","5"}, 0)), RIGHT(B42,1), "0")</f>
        <v>50_6510216_4</v>
      </c>
    </row>
    <row r="43" spans="1:5" ht="18.75" x14ac:dyDescent="0.3">
      <c r="A43" s="11">
        <v>42</v>
      </c>
      <c r="B43" s="8" t="s">
        <v>187</v>
      </c>
      <c r="C43" s="8" t="s">
        <v>6</v>
      </c>
      <c r="D43" s="8" t="s">
        <v>134</v>
      </c>
      <c r="E43" s="12" t="str">
        <f>LEFT(B43,2)&amp;"_"&amp;INDEX(MA_NGHE!A:A,MATCH(TEN_LOP!C43,MA_NGHE!B:B,0),1)&amp;"_"&amp;IF(ISNUMBER(MATCH(RIGHT(B43,1), {"1","2","3","4","5"}, 0)), RIGHT(B43,1), "0")</f>
        <v>50_6510216_5</v>
      </c>
    </row>
    <row r="44" spans="1:5" ht="18.75" x14ac:dyDescent="0.3">
      <c r="A44" s="11">
        <v>43</v>
      </c>
      <c r="B44" s="8" t="s">
        <v>188</v>
      </c>
      <c r="C44" s="8" t="s">
        <v>12</v>
      </c>
      <c r="D44" s="8" t="s">
        <v>146</v>
      </c>
      <c r="E44" s="12" t="str">
        <f>LEFT(B44,2)&amp;"_"&amp;INDEX(MA_NGHE!A:A,MATCH(TEN_LOP!C44,MA_NGHE!B:B,0),1)&amp;"_"&amp;IF(ISNUMBER(MATCH(RIGHT(B44,1), {"1","2","3","4","5"}, 0)), RIGHT(B44,1), "0")</f>
        <v>50_6520227_1</v>
      </c>
    </row>
    <row r="45" spans="1:5" ht="18.75" x14ac:dyDescent="0.3">
      <c r="A45" s="11">
        <v>44</v>
      </c>
      <c r="B45" s="8" t="s">
        <v>189</v>
      </c>
      <c r="C45" s="8" t="s">
        <v>12</v>
      </c>
      <c r="D45" s="8" t="s">
        <v>146</v>
      </c>
      <c r="E45" s="12" t="str">
        <f>LEFT(B45,2)&amp;"_"&amp;INDEX(MA_NGHE!A:A,MATCH(TEN_LOP!C45,MA_NGHE!B:B,0),1)&amp;"_"&amp;IF(ISNUMBER(MATCH(RIGHT(B45,1), {"1","2","3","4","5"}, 0)), RIGHT(B45,1), "0")</f>
        <v>50_6520227_2</v>
      </c>
    </row>
    <row r="46" spans="1:5" ht="18.75" x14ac:dyDescent="0.3">
      <c r="A46" s="11">
        <v>45</v>
      </c>
      <c r="B46" s="8" t="s">
        <v>190</v>
      </c>
      <c r="C46" s="8" t="s">
        <v>41</v>
      </c>
      <c r="D46" s="8" t="s">
        <v>148</v>
      </c>
      <c r="E46" s="12" t="str">
        <f>LEFT(B46,2)&amp;"_"&amp;INDEX(MA_NGHE!A:A,MATCH(TEN_LOP!C46,MA_NGHE!B:B,0),1)&amp;"_"&amp;IF(ISNUMBER(MATCH(RIGHT(B46,1), {"1","2","3","4","5"}, 0)), RIGHT(B46,1), "0")</f>
        <v>50_5520225_0</v>
      </c>
    </row>
    <row r="47" spans="1:5" ht="18.75" x14ac:dyDescent="0.3">
      <c r="A47" s="11">
        <v>46</v>
      </c>
      <c r="B47" s="8" t="s">
        <v>191</v>
      </c>
      <c r="C47" s="8" t="s">
        <v>16</v>
      </c>
      <c r="D47" s="8" t="s">
        <v>157</v>
      </c>
      <c r="E47" s="12" t="str">
        <f>LEFT(B47,2)&amp;"_"&amp;INDEX(MA_NGHE!A:A,MATCH(TEN_LOP!C47,MA_NGHE!B:B,0),1)&amp;"_"&amp;IF(ISNUMBER(MATCH(RIGHT(B47,1), {"1","2","3","4","5"}, 0)), RIGHT(B47,1), "0")</f>
        <v>50_5520205_0</v>
      </c>
    </row>
    <row r="48" spans="1:5" ht="18.75" x14ac:dyDescent="0.3">
      <c r="A48" s="11">
        <v>47</v>
      </c>
      <c r="B48" s="8" t="s">
        <v>192</v>
      </c>
      <c r="C48" s="8" t="s">
        <v>14</v>
      </c>
      <c r="D48" s="8" t="s">
        <v>161</v>
      </c>
      <c r="E48" s="12" t="str">
        <f>LEFT(B48,2)&amp;"_"&amp;INDEX(MA_NGHE!A:A,MATCH(TEN_LOP!C48,MA_NGHE!B:B,0),1)&amp;"_"&amp;IF(ISNUMBER(MATCH(RIGHT(B48,1), {"1","2","3","4","5"}, 0)), RIGHT(B48,1), "0")</f>
        <v>50_5520201_0</v>
      </c>
    </row>
    <row r="49" spans="1:5" ht="18.75" x14ac:dyDescent="0.3">
      <c r="A49" s="11">
        <v>48</v>
      </c>
      <c r="B49" s="8" t="s">
        <v>193</v>
      </c>
      <c r="C49" s="8" t="s">
        <v>18</v>
      </c>
      <c r="D49" s="8" t="s">
        <v>140</v>
      </c>
      <c r="E49" s="12" t="str">
        <f>LEFT(B49,2)&amp;"_"&amp;INDEX(MA_NGHE!A:A,MATCH(TEN_LOP!C49,MA_NGHE!B:B,0),1)&amp;"_"&amp;IF(ISNUMBER(MATCH(RIGHT(B49,1), {"1","2","3","4","5"}, 0)), RIGHT(B49,1), "0")</f>
        <v>50_5480202_1</v>
      </c>
    </row>
    <row r="50" spans="1:5" ht="18.75" x14ac:dyDescent="0.3">
      <c r="A50" s="11">
        <v>49</v>
      </c>
      <c r="B50" s="8" t="s">
        <v>194</v>
      </c>
      <c r="C50" s="8" t="s">
        <v>18</v>
      </c>
      <c r="D50" s="8" t="s">
        <v>140</v>
      </c>
      <c r="E50" s="12" t="str">
        <f>LEFT(B50,2)&amp;"_"&amp;INDEX(MA_NGHE!A:A,MATCH(TEN_LOP!C50,MA_NGHE!B:B,0),1)&amp;"_"&amp;IF(ISNUMBER(MATCH(RIGHT(B50,1), {"1","2","3","4","5"}, 0)), RIGHT(B50,1), "0")</f>
        <v>50_5480202_2</v>
      </c>
    </row>
    <row r="51" spans="1:5" ht="18.75" x14ac:dyDescent="0.3">
      <c r="A51" s="11">
        <v>50</v>
      </c>
      <c r="B51" s="8" t="s">
        <v>195</v>
      </c>
      <c r="C51" s="8" t="s">
        <v>18</v>
      </c>
      <c r="D51" s="8" t="s">
        <v>140</v>
      </c>
      <c r="E51" s="12" t="str">
        <f>LEFT(B51,2)&amp;"_"&amp;INDEX(MA_NGHE!A:A,MATCH(TEN_LOP!C51,MA_NGHE!B:B,0),1)&amp;"_"&amp;IF(ISNUMBER(MATCH(RIGHT(B51,1), {"1","2","3","4","5"}, 0)), RIGHT(B51,1), "0")</f>
        <v>50_5480202_3</v>
      </c>
    </row>
    <row r="52" spans="1:5" ht="18.75" x14ac:dyDescent="0.3">
      <c r="A52" s="11">
        <v>51</v>
      </c>
      <c r="B52" s="8" t="s">
        <v>196</v>
      </c>
      <c r="C52" s="8" t="s">
        <v>22</v>
      </c>
      <c r="D52" s="8" t="s">
        <v>155</v>
      </c>
      <c r="E52" s="12" t="str">
        <f>LEFT(B52,2)&amp;"_"&amp;INDEX(MA_NGHE!A:A,MATCH(TEN_LOP!C52,MA_NGHE!B:B,0),1)&amp;"_"&amp;IF(ISNUMBER(MATCH(RIGHT(B52,1), {"1","2","3","4","5"}, 0)), RIGHT(B52,1), "0")</f>
        <v>50_5340302_0</v>
      </c>
    </row>
    <row r="53" spans="1:5" ht="18.75" x14ac:dyDescent="0.3">
      <c r="A53" s="11">
        <v>52</v>
      </c>
      <c r="B53" s="8" t="s">
        <v>197</v>
      </c>
      <c r="C53" s="8" t="s">
        <v>43</v>
      </c>
      <c r="D53" s="8" t="s">
        <v>166</v>
      </c>
      <c r="E53" s="12" t="str">
        <f>LEFT(B53,2)&amp;"_"&amp;INDEX(MA_NGHE!A:A,MATCH(TEN_LOP!C53,MA_NGHE!B:B,0),1)&amp;"_"&amp;IF(ISNUMBER(MATCH(RIGHT(B53,1), {"1","2","3","4","5"}, 0)), RIGHT(B53,1), "0")</f>
        <v>50_5480105_0</v>
      </c>
    </row>
    <row r="54" spans="1:5" ht="18.75" x14ac:dyDescent="0.3">
      <c r="A54" s="11">
        <v>53</v>
      </c>
      <c r="B54" s="8" t="s">
        <v>198</v>
      </c>
      <c r="C54" s="8" t="s">
        <v>26</v>
      </c>
      <c r="D54" s="8" t="s">
        <v>152</v>
      </c>
      <c r="E54" s="12" t="str">
        <f>LEFT(B54,2)&amp;"_"&amp;INDEX(MA_NGHE!A:A,MATCH(TEN_LOP!C54,MA_NGHE!B:B,0),1)&amp;"_"&amp;IF(ISNUMBER(MATCH(RIGHT(B54,1), {"1","2","3","4","5"}, 0)), RIGHT(B54,1), "0")</f>
        <v>50_6520123_1</v>
      </c>
    </row>
    <row r="55" spans="1:5" ht="18.75" x14ac:dyDescent="0.3">
      <c r="A55" s="11">
        <v>54</v>
      </c>
      <c r="B55" s="8" t="s">
        <v>199</v>
      </c>
      <c r="C55" s="8" t="s">
        <v>26</v>
      </c>
      <c r="D55" s="8" t="s">
        <v>152</v>
      </c>
      <c r="E55" s="12" t="str">
        <f>LEFT(B55,2)&amp;"_"&amp;INDEX(MA_NGHE!A:A,MATCH(TEN_LOP!C55,MA_NGHE!B:B,0),1)&amp;"_"&amp;IF(ISNUMBER(MATCH(RIGHT(B55,1), {"1","2","3","4","5"}, 0)), RIGHT(B55,1), "0")</f>
        <v>50_6520123_2</v>
      </c>
    </row>
    <row r="56" spans="1:5" ht="18.75" x14ac:dyDescent="0.3">
      <c r="A56" s="11">
        <v>55</v>
      </c>
      <c r="B56" s="8" t="s">
        <v>200</v>
      </c>
      <c r="C56" s="8" t="s">
        <v>45</v>
      </c>
      <c r="D56" s="8" t="s">
        <v>201</v>
      </c>
      <c r="E56" s="12" t="str">
        <f>LEFT(B56,2)&amp;"_"&amp;INDEX(MA_NGHE!A:A,MATCH(TEN_LOP!C56,MA_NGHE!B:B,0),1)&amp;"_"&amp;IF(ISNUMBER(MATCH(RIGHT(B56,1), {"1","2","3","4","5"}, 0)), RIGHT(B56,1), "0")</f>
        <v>50_5510217_0</v>
      </c>
    </row>
    <row r="57" spans="1:5" ht="18.75" x14ac:dyDescent="0.3">
      <c r="A57" s="11">
        <v>56</v>
      </c>
      <c r="B57" s="8" t="s">
        <v>202</v>
      </c>
      <c r="C57" s="8" t="s">
        <v>24</v>
      </c>
      <c r="D57" s="8" t="s">
        <v>132</v>
      </c>
      <c r="E57" s="12" t="str">
        <f>LEFT(B57,2)&amp;"_"&amp;INDEX(MA_NGHE!A:A,MATCH(TEN_LOP!C57,MA_NGHE!B:B,0),1)&amp;"_"&amp;IF(ISNUMBER(MATCH(RIGHT(B57,1), {"1","2","3","4","5"}, 0)), RIGHT(B57,1), "0")</f>
        <v>50_5520121_0</v>
      </c>
    </row>
    <row r="58" spans="1:5" ht="18.75" x14ac:dyDescent="0.3">
      <c r="A58" s="11">
        <v>57</v>
      </c>
      <c r="B58" s="8" t="s">
        <v>203</v>
      </c>
      <c r="C58" s="8" t="s">
        <v>28</v>
      </c>
      <c r="D58" s="8" t="s">
        <v>159</v>
      </c>
      <c r="E58" s="12" t="str">
        <f>LEFT(B58,2)&amp;"_"&amp;INDEX(MA_NGHE!A:A,MATCH(TEN_LOP!C58,MA_NGHE!B:B,0),1)&amp;"_"&amp;IF(ISNUMBER(MATCH(RIGHT(B58,1), {"1","2","3","4","5"}, 0)), RIGHT(B58,1), "0")</f>
        <v>50_5580201_0</v>
      </c>
    </row>
    <row r="59" spans="1:5" ht="18.75" x14ac:dyDescent="0.3">
      <c r="A59" s="11">
        <v>58</v>
      </c>
      <c r="B59" s="8" t="s">
        <v>204</v>
      </c>
      <c r="C59" s="8" t="s">
        <v>38</v>
      </c>
      <c r="D59" s="8" t="s">
        <v>128</v>
      </c>
      <c r="E59" s="12" t="str">
        <f>LEFT(B59,2)&amp;"_"&amp;INDEX(MA_NGHE!A:A,MATCH(TEN_LOP!C59,MA_NGHE!B:B,0),1)&amp;"_"&amp;IF(ISNUMBER(MATCH(RIGHT(B59,1), {"1","2","3","4","5"}, 0)), RIGHT(B59,1), "0")</f>
        <v>50_5620116_0</v>
      </c>
    </row>
    <row r="60" spans="1:5" ht="18.75" x14ac:dyDescent="0.3">
      <c r="A60" s="11">
        <v>59</v>
      </c>
      <c r="B60" s="8" t="s">
        <v>205</v>
      </c>
      <c r="C60" s="8" t="s">
        <v>36</v>
      </c>
      <c r="D60" s="8" t="s">
        <v>168</v>
      </c>
      <c r="E60" s="12" t="str">
        <f>LEFT(B60,2)&amp;"_"&amp;INDEX(MA_NGHE!A:A,MATCH(TEN_LOP!C60,MA_NGHE!B:B,0),1)&amp;"_"&amp;IF(ISNUMBER(MATCH(RIGHT(B60,1), {"1","2","3","4","5"}, 0)), RIGHT(B60,1), "0")</f>
        <v>50_6640101_1</v>
      </c>
    </row>
    <row r="61" spans="1:5" ht="18.75" x14ac:dyDescent="0.3">
      <c r="A61" s="11">
        <v>60</v>
      </c>
      <c r="B61" s="8" t="s">
        <v>206</v>
      </c>
      <c r="C61" s="8" t="s">
        <v>36</v>
      </c>
      <c r="D61" s="8" t="s">
        <v>168</v>
      </c>
      <c r="E61" s="12" t="str">
        <f>LEFT(B61,2)&amp;"_"&amp;INDEX(MA_NGHE!A:A,MATCH(TEN_LOP!C61,MA_NGHE!B:B,0),1)&amp;"_"&amp;IF(ISNUMBER(MATCH(RIGHT(B61,1), {"1","2","3","4","5"}, 0)), RIGHT(B61,1), "0")</f>
        <v>50_6640101_2</v>
      </c>
    </row>
    <row r="62" spans="1:5" ht="18.75" x14ac:dyDescent="0.3">
      <c r="A62" s="11">
        <v>61</v>
      </c>
      <c r="B62" s="8" t="s">
        <v>207</v>
      </c>
      <c r="C62" s="8" t="s">
        <v>40</v>
      </c>
      <c r="D62" s="8" t="s">
        <v>130</v>
      </c>
      <c r="E62" s="12" t="str">
        <f>LEFT(B62,2)&amp;"_"&amp;INDEX(MA_NGHE!A:A,MATCH(TEN_LOP!C62,MA_NGHE!B:B,0),1)&amp;"_"&amp;IF(ISNUMBER(MATCH(RIGHT(B62,1), {"1","2","3","4","5"}, 0)), RIGHT(B62,1), "0")</f>
        <v>50_5810207_0</v>
      </c>
    </row>
    <row r="63" spans="1:5" ht="18.75" x14ac:dyDescent="0.3">
      <c r="A63" s="11">
        <v>62</v>
      </c>
      <c r="B63" s="8" t="s">
        <v>208</v>
      </c>
      <c r="C63" s="8" t="s">
        <v>49</v>
      </c>
      <c r="D63" s="8" t="s">
        <v>163</v>
      </c>
      <c r="E63" s="12" t="str">
        <f>LEFT(B63,2)&amp;"_"&amp;INDEX(MA_NGHE!A:A,MATCH(TEN_LOP!C63,MA_NGHE!B:B,0),1)&amp;"_"&amp;IF(ISNUMBER(MATCH(RIGHT(B63,1), {"1","2","3","4","5"}, 0)), RIGHT(B63,1), "0")</f>
        <v>50_5540205_1</v>
      </c>
    </row>
    <row r="64" spans="1:5" ht="18.75" x14ac:dyDescent="0.3">
      <c r="A64" s="11">
        <v>63</v>
      </c>
      <c r="B64" s="8" t="s">
        <v>209</v>
      </c>
      <c r="C64" s="8" t="s">
        <v>49</v>
      </c>
      <c r="D64" s="8" t="s">
        <v>163</v>
      </c>
      <c r="E64" s="12" t="str">
        <f>LEFT(B64,2)&amp;"_"&amp;INDEX(MA_NGHE!A:A,MATCH(TEN_LOP!C64,MA_NGHE!B:B,0),1)&amp;"_"&amp;IF(ISNUMBER(MATCH(RIGHT(B64,1), {"1","2","3","4","5"}, 0)), RIGHT(B64,1), "0")</f>
        <v>50_5540205_2</v>
      </c>
    </row>
    <row r="65" spans="1:5" ht="18.75" x14ac:dyDescent="0.3">
      <c r="A65" s="11">
        <v>64</v>
      </c>
      <c r="B65" s="8" t="s">
        <v>210</v>
      </c>
      <c r="C65" s="8" t="s">
        <v>47</v>
      </c>
      <c r="D65" s="8" t="s">
        <v>150</v>
      </c>
      <c r="E65" s="12" t="str">
        <f>LEFT(B65,2)&amp;"_"&amp;INDEX(MA_NGHE!A:A,MATCH(TEN_LOP!C65,MA_NGHE!B:B,0),1)&amp;"_"&amp;IF(ISNUMBER(MATCH(RIGHT(B65,1), {"1","2","3","4","5"}, 0)), RIGHT(B65,1), "0")</f>
        <v>50_5210422_0</v>
      </c>
    </row>
    <row r="66" spans="1:5" ht="18.75" x14ac:dyDescent="0.3">
      <c r="A66" s="11">
        <v>65</v>
      </c>
      <c r="B66" s="8" t="s">
        <v>211</v>
      </c>
      <c r="C66" s="8" t="s">
        <v>51</v>
      </c>
      <c r="D66" s="8" t="s">
        <v>144</v>
      </c>
      <c r="E66" s="12" t="str">
        <f>LEFT(B66,2)&amp;"_"&amp;INDEX(MA_NGHE!A:A,MATCH(TEN_LOP!C66,MA_NGHE!B:B,0),1)&amp;"_"&amp;IF(ISNUMBER(MATCH(RIGHT(B66,1), {"1","2","3","4","5"}, 0)), RIGHT(B66,1), "0")</f>
        <v>50_5540125_0</v>
      </c>
    </row>
    <row r="67" spans="1:5" ht="18.75" x14ac:dyDescent="0.3">
      <c r="A67" s="11">
        <v>66</v>
      </c>
      <c r="B67" s="8" t="s">
        <v>212</v>
      </c>
      <c r="C67" s="8" t="s">
        <v>50</v>
      </c>
      <c r="D67" s="8" t="s">
        <v>170</v>
      </c>
      <c r="E67" s="12" t="str">
        <f>LEFT(B67,2)&amp;"_"&amp;INDEX(MA_NGHE!A:A,MATCH(TEN_LOP!C67,MA_NGHE!B:B,0),1)&amp;"_"&amp;IF(ISNUMBER(MATCH(RIGHT(B67,1), {"1","2","3","4","5"}, 0)), RIGHT(B67,1), "0")</f>
        <v>50_5320301_0</v>
      </c>
    </row>
    <row r="68" spans="1:5" ht="18.75" x14ac:dyDescent="0.3">
      <c r="A68" s="11">
        <v>67</v>
      </c>
      <c r="B68" s="8" t="s">
        <v>213</v>
      </c>
      <c r="C68" s="8" t="s">
        <v>6</v>
      </c>
      <c r="D68" s="8" t="s">
        <v>134</v>
      </c>
      <c r="E68" s="12" t="str">
        <f>LEFT(B68,2)&amp;"_"&amp;INDEX(MA_NGHE!A:A,MATCH(TEN_LOP!C68,MA_NGHE!B:B,0),1)&amp;"_"&amp;IF(ISNUMBER(MATCH(RIGHT(B68,1), {"1","2","3","4","5"}, 0)), RIGHT(B68,1), "0")</f>
        <v>50_6510216_1</v>
      </c>
    </row>
    <row r="69" spans="1:5" ht="18.75" x14ac:dyDescent="0.3">
      <c r="A69" s="11">
        <v>68</v>
      </c>
      <c r="B69" s="8" t="s">
        <v>214</v>
      </c>
      <c r="C69" s="8" t="s">
        <v>6</v>
      </c>
      <c r="D69" s="8" t="s">
        <v>134</v>
      </c>
      <c r="E69" s="12" t="str">
        <f>LEFT(B69,2)&amp;"_"&amp;INDEX(MA_NGHE!A:A,MATCH(TEN_LOP!C69,MA_NGHE!B:B,0),1)&amp;"_"&amp;IF(ISNUMBER(MATCH(RIGHT(B69,1), {"1","2","3","4","5"}, 0)), RIGHT(B69,1), "0")</f>
        <v>50_6510216_2</v>
      </c>
    </row>
    <row r="70" spans="1:5" ht="18.75" x14ac:dyDescent="0.3">
      <c r="A70" s="11">
        <v>69</v>
      </c>
      <c r="B70" s="8" t="s">
        <v>215</v>
      </c>
      <c r="C70" s="8" t="s">
        <v>8</v>
      </c>
      <c r="D70" s="8" t="s">
        <v>174</v>
      </c>
      <c r="E70" s="12" t="str">
        <f>LEFT(B70,2)&amp;"_"&amp;INDEX(MA_NGHE!A:A,MATCH(TEN_LOP!C70,MA_NGHE!B:B,0),1)&amp;"_"&amp;IF(ISNUMBER(MATCH(RIGHT(B70,1), {"1","2","3","4","5"}, 0)), RIGHT(B70,1), "0")</f>
        <v>50_6510202_1</v>
      </c>
    </row>
    <row r="71" spans="1:5" ht="18.75" x14ac:dyDescent="0.3">
      <c r="A71" s="11">
        <v>70</v>
      </c>
      <c r="B71" s="8" t="s">
        <v>216</v>
      </c>
      <c r="C71" s="8" t="s">
        <v>8</v>
      </c>
      <c r="D71" s="8" t="s">
        <v>174</v>
      </c>
      <c r="E71" s="12" t="str">
        <f>LEFT(B71,2)&amp;"_"&amp;INDEX(MA_NGHE!A:A,MATCH(TEN_LOP!C71,MA_NGHE!B:B,0),1)&amp;"_"&amp;IF(ISNUMBER(MATCH(RIGHT(B71,1), {"1","2","3","4","5"}, 0)), RIGHT(B71,1), "0")</f>
        <v>50_6510202_2</v>
      </c>
    </row>
    <row r="72" spans="1:5" ht="18.75" x14ac:dyDescent="0.3">
      <c r="A72" s="11">
        <v>71</v>
      </c>
      <c r="B72" s="8" t="s">
        <v>217</v>
      </c>
      <c r="C72" s="8" t="s">
        <v>18</v>
      </c>
      <c r="D72" s="8" t="s">
        <v>140</v>
      </c>
      <c r="E72" s="12" t="str">
        <f>LEFT(B72,2)&amp;"_"&amp;INDEX(MA_NGHE!A:A,MATCH(TEN_LOP!C72,MA_NGHE!B:B,0),1)&amp;"_"&amp;IF(ISNUMBER(MATCH(RIGHT(B72,1), {"1","2","3","4","5"}, 0)), RIGHT(B72,1), "0")</f>
        <v>50_5480202_0</v>
      </c>
    </row>
    <row r="73" spans="1:5" ht="18.75" x14ac:dyDescent="0.3">
      <c r="A73" s="11">
        <v>72</v>
      </c>
      <c r="B73" s="8" t="s">
        <v>218</v>
      </c>
      <c r="C73" s="8" t="s">
        <v>38</v>
      </c>
      <c r="D73" s="8" t="s">
        <v>128</v>
      </c>
      <c r="E73" s="12" t="str">
        <f>LEFT(B73,2)&amp;"_"&amp;INDEX(MA_NGHE!A:A,MATCH(TEN_LOP!C73,MA_NGHE!B:B,0),1)&amp;"_"&amp;IF(ISNUMBER(MATCH(RIGHT(B73,1), {"1","2","3","4","5"}, 0)), RIGHT(B73,1), "0")</f>
        <v>50_5620116_0</v>
      </c>
    </row>
    <row r="74" spans="1:5" ht="18.75" x14ac:dyDescent="0.3">
      <c r="A74" s="11">
        <v>73</v>
      </c>
      <c r="B74" s="8" t="s">
        <v>219</v>
      </c>
      <c r="C74" s="8" t="s">
        <v>36</v>
      </c>
      <c r="D74" s="8" t="s">
        <v>168</v>
      </c>
      <c r="E74" s="12" t="str">
        <f>LEFT(B74,2)&amp;"_"&amp;INDEX(MA_NGHE!A:A,MATCH(TEN_LOP!C74,MA_NGHE!B:B,0),1)&amp;"_"&amp;IF(ISNUMBER(MATCH(RIGHT(B74,1), {"1","2","3","4","5"}, 0)), RIGHT(B74,1), "0")</f>
        <v>50_6640101_0</v>
      </c>
    </row>
    <row r="75" spans="1:5" ht="18.75" x14ac:dyDescent="0.3">
      <c r="A75" s="11">
        <v>74</v>
      </c>
      <c r="B75" s="8" t="s">
        <v>220</v>
      </c>
      <c r="C75" s="8" t="s">
        <v>12</v>
      </c>
      <c r="D75" s="8" t="s">
        <v>146</v>
      </c>
      <c r="E75" s="12" t="str">
        <f>LEFT(B75,2)&amp;"_"&amp;INDEX(MA_NGHE!A:A,MATCH(TEN_LOP!C75,MA_NGHE!B:B,0),1)&amp;"_"&amp;IF(ISNUMBER(MATCH(RIGHT(B75,1), {"1","2","3","4","5"}, 0)), RIGHT(B75,1), "0")</f>
        <v>50_6520227_0</v>
      </c>
    </row>
    <row r="76" spans="1:5" ht="18.75" x14ac:dyDescent="0.3">
      <c r="A76" s="11">
        <v>75</v>
      </c>
      <c r="B76" s="8" t="s">
        <v>221</v>
      </c>
      <c r="C76" s="8" t="s">
        <v>10</v>
      </c>
      <c r="D76" s="8" t="s">
        <v>222</v>
      </c>
      <c r="E76" s="12" t="str">
        <f>LEFT(B76,2)&amp;"_"&amp;INDEX(MA_NGHE!A:A,MATCH(TEN_LOP!C76,MA_NGHE!B:B,0),1)&amp;"_"&amp;IF(ISNUMBER(MATCH(RIGHT(B76,1), {"1","2","3","4","5"}, 0)), RIGHT(B76,1), "0")</f>
        <v>50_6510303_0</v>
      </c>
    </row>
    <row r="77" spans="1:5" ht="18.75" x14ac:dyDescent="0.3">
      <c r="A77" s="11">
        <v>76</v>
      </c>
      <c r="B77" s="8" t="s">
        <v>223</v>
      </c>
      <c r="C77" s="8" t="s">
        <v>14</v>
      </c>
      <c r="D77" s="8" t="s">
        <v>161</v>
      </c>
      <c r="E77" s="12" t="str">
        <f>LEFT(B77,2)&amp;"_"&amp;INDEX(MA_NGHE!A:A,MATCH(TEN_LOP!C77,MA_NGHE!B:B,0),1)&amp;"_"&amp;IF(ISNUMBER(MATCH(RIGHT(B77,1), {"1","2","3","4","5"}, 0)), RIGHT(B77,1), "0")</f>
        <v>50_5520201_0</v>
      </c>
    </row>
    <row r="78" spans="1:5" ht="18.75" x14ac:dyDescent="0.3">
      <c r="A78" s="11">
        <v>77</v>
      </c>
      <c r="B78" s="8" t="s">
        <v>224</v>
      </c>
      <c r="C78" s="8" t="s">
        <v>49</v>
      </c>
      <c r="D78" s="8" t="s">
        <v>163</v>
      </c>
      <c r="E78" s="12" t="str">
        <f>LEFT(B78,2)&amp;"_"&amp;INDEX(MA_NGHE!A:A,MATCH(TEN_LOP!C78,MA_NGHE!B:B,0),1)&amp;"_"&amp;IF(ISNUMBER(MATCH(RIGHT(B78,1), {"1","2","3","4","5"}, 0)), RIGHT(B78,1), "0")</f>
        <v>50_5540205_0</v>
      </c>
    </row>
    <row r="79" spans="1:5" ht="18.75" x14ac:dyDescent="0.3">
      <c r="A79" s="11">
        <v>78</v>
      </c>
      <c r="B79" s="8" t="s">
        <v>225</v>
      </c>
      <c r="C79" s="8" t="s">
        <v>6</v>
      </c>
      <c r="D79" s="8" t="s">
        <v>134</v>
      </c>
      <c r="E79" s="12" t="str">
        <f>LEFT(B79,2)&amp;"_"&amp;INDEX(MA_NGHE!A:A,MATCH(TEN_LOP!C79,MA_NGHE!B:B,0),1)&amp;"_"&amp;IF(ISNUMBER(MATCH(RIGHT(B79,1), {"1","2","3","4","5"}, 0)), RIGHT(B79,1), "0")</f>
        <v>51_6510216_1</v>
      </c>
    </row>
    <row r="80" spans="1:5" ht="18.75" x14ac:dyDescent="0.3">
      <c r="A80" s="11">
        <v>79</v>
      </c>
      <c r="B80" s="8" t="s">
        <v>226</v>
      </c>
      <c r="C80" s="8" t="s">
        <v>6</v>
      </c>
      <c r="D80" s="8" t="s">
        <v>134</v>
      </c>
      <c r="E80" s="12" t="str">
        <f>LEFT(B80,2)&amp;"_"&amp;INDEX(MA_NGHE!A:A,MATCH(TEN_LOP!C80,MA_NGHE!B:B,0),1)&amp;"_"&amp;IF(ISNUMBER(MATCH(RIGHT(B80,1), {"1","2","3","4","5"}, 0)), RIGHT(B80,1), "0")</f>
        <v>51_6510216_2</v>
      </c>
    </row>
    <row r="81" spans="1:5" ht="18.75" x14ac:dyDescent="0.3">
      <c r="A81" s="11">
        <v>80</v>
      </c>
      <c r="B81" s="8" t="s">
        <v>227</v>
      </c>
      <c r="C81" s="8" t="s">
        <v>6</v>
      </c>
      <c r="D81" s="8" t="s">
        <v>134</v>
      </c>
      <c r="E81" s="12" t="str">
        <f>LEFT(B81,2)&amp;"_"&amp;INDEX(MA_NGHE!A:A,MATCH(TEN_LOP!C81,MA_NGHE!B:B,0),1)&amp;"_"&amp;IF(ISNUMBER(MATCH(RIGHT(B81,1), {"1","2","3","4","5"}, 0)), RIGHT(B81,1), "0")</f>
        <v>51_6510216_3</v>
      </c>
    </row>
    <row r="82" spans="1:5" ht="18.75" x14ac:dyDescent="0.3">
      <c r="A82" s="11">
        <v>81</v>
      </c>
      <c r="B82" s="8" t="s">
        <v>228</v>
      </c>
      <c r="C82" s="8" t="s">
        <v>6</v>
      </c>
      <c r="D82" s="8" t="s">
        <v>134</v>
      </c>
      <c r="E82" s="12" t="str">
        <f>LEFT(B82,2)&amp;"_"&amp;INDEX(MA_NGHE!A:A,MATCH(TEN_LOP!C82,MA_NGHE!B:B,0),1)&amp;"_"&amp;IF(ISNUMBER(MATCH(RIGHT(B82,1), {"1","2","3","4","5"}, 0)), RIGHT(B82,1), "0")</f>
        <v>51_6510216_5</v>
      </c>
    </row>
    <row r="83" spans="1:5" ht="18.75" x14ac:dyDescent="0.3">
      <c r="A83" s="11">
        <v>82</v>
      </c>
      <c r="B83" s="8" t="s">
        <v>229</v>
      </c>
      <c r="C83" s="8" t="s">
        <v>18</v>
      </c>
      <c r="D83" s="8" t="s">
        <v>140</v>
      </c>
      <c r="E83" s="12" t="str">
        <f>LEFT(B83,2)&amp;"_"&amp;INDEX(MA_NGHE!A:A,MATCH(TEN_LOP!C83,MA_NGHE!B:B,0),1)&amp;"_"&amp;IF(ISNUMBER(MATCH(RIGHT(B83,1), {"1","2","3","4","5"}, 0)), RIGHT(B83,1), "0")</f>
        <v>51_5480202_1</v>
      </c>
    </row>
    <row r="84" spans="1:5" ht="18.75" x14ac:dyDescent="0.3">
      <c r="A84" s="11">
        <v>83</v>
      </c>
      <c r="B84" s="8" t="s">
        <v>230</v>
      </c>
      <c r="C84" s="8" t="s">
        <v>22</v>
      </c>
      <c r="D84" s="8" t="s">
        <v>155</v>
      </c>
      <c r="E84" s="12" t="str">
        <f>LEFT(B84,2)&amp;"_"&amp;INDEX(MA_NGHE!A:A,MATCH(TEN_LOP!C84,MA_NGHE!B:B,0),1)&amp;"_"&amp;IF(ISNUMBER(MATCH(RIGHT(B84,1), {"1","2","3","4","5"}, 0)), RIGHT(B84,1), "0")</f>
        <v>51_5340302_0</v>
      </c>
    </row>
    <row r="85" spans="1:5" ht="18.75" x14ac:dyDescent="0.3">
      <c r="A85" s="11">
        <v>84</v>
      </c>
      <c r="B85" s="8" t="s">
        <v>231</v>
      </c>
      <c r="C85" s="8" t="s">
        <v>50</v>
      </c>
      <c r="D85" s="8" t="s">
        <v>170</v>
      </c>
      <c r="E85" s="12" t="str">
        <f>LEFT(B85,2)&amp;"_"&amp;INDEX(MA_NGHE!A:A,MATCH(TEN_LOP!C85,MA_NGHE!B:B,0),1)&amp;"_"&amp;IF(ISNUMBER(MATCH(RIGHT(B85,1), {"1","2","3","4","5"}, 0)), RIGHT(B85,1), "0")</f>
        <v>51_5320301_0</v>
      </c>
    </row>
    <row r="86" spans="1:5" ht="18.75" x14ac:dyDescent="0.3">
      <c r="A86" s="11">
        <v>85</v>
      </c>
      <c r="B86" s="8" t="s">
        <v>232</v>
      </c>
      <c r="C86" s="8" t="s">
        <v>51</v>
      </c>
      <c r="D86" s="8" t="s">
        <v>144</v>
      </c>
      <c r="E86" s="12" t="str">
        <f>LEFT(B86,2)&amp;"_"&amp;INDEX(MA_NGHE!A:A,MATCH(TEN_LOP!C86,MA_NGHE!B:B,0),1)&amp;"_"&amp;IF(ISNUMBER(MATCH(RIGHT(B86,1), {"1","2","3","4","5"}, 0)), RIGHT(B86,1), "0")</f>
        <v>51_5540125_0</v>
      </c>
    </row>
    <row r="87" spans="1:5" ht="18.75" x14ac:dyDescent="0.3">
      <c r="A87" s="11">
        <v>86</v>
      </c>
      <c r="B87" s="8" t="s">
        <v>233</v>
      </c>
      <c r="C87" s="8" t="s">
        <v>10</v>
      </c>
      <c r="D87" s="8" t="s">
        <v>222</v>
      </c>
      <c r="E87" s="12" t="str">
        <f>LEFT(B87,2)&amp;"_"&amp;INDEX(MA_NGHE!A:A,MATCH(TEN_LOP!C87,MA_NGHE!B:B,0),1)&amp;"_"&amp;IF(ISNUMBER(MATCH(RIGHT(B87,1), {"1","2","3","4","5"}, 0)), RIGHT(B87,1), "0")</f>
        <v>51_6510303_0</v>
      </c>
    </row>
    <row r="88" spans="1:5" ht="18.75" x14ac:dyDescent="0.3">
      <c r="A88" s="11">
        <v>87</v>
      </c>
      <c r="B88" s="8" t="s">
        <v>234</v>
      </c>
      <c r="C88" s="8" t="s">
        <v>28</v>
      </c>
      <c r="D88" s="8" t="s">
        <v>159</v>
      </c>
      <c r="E88" s="12" t="str">
        <f>LEFT(B88,2)&amp;"_"&amp;INDEX(MA_NGHE!A:A,MATCH(TEN_LOP!C88,MA_NGHE!B:B,0),1)&amp;"_"&amp;IF(ISNUMBER(MATCH(RIGHT(B88,1), {"1","2","3","4","5"}, 0)), RIGHT(B88,1), "0")</f>
        <v>51_5580201_0</v>
      </c>
    </row>
    <row r="89" spans="1:5" ht="18.75" x14ac:dyDescent="0.3">
      <c r="A89" s="11">
        <v>88</v>
      </c>
      <c r="B89" s="8" t="s">
        <v>235</v>
      </c>
      <c r="C89" s="8" t="s">
        <v>26</v>
      </c>
      <c r="D89" s="8" t="s">
        <v>152</v>
      </c>
      <c r="E89" s="12" t="str">
        <f>LEFT(B89,2)&amp;"_"&amp;INDEX(MA_NGHE!A:A,MATCH(TEN_LOP!C89,MA_NGHE!B:B,0),1)&amp;"_"&amp;IF(ISNUMBER(MATCH(RIGHT(B89,1), {"1","2","3","4","5"}, 0)), RIGHT(B89,1), "0")</f>
        <v>51_6520123_1</v>
      </c>
    </row>
    <row r="90" spans="1:5" ht="18.75" x14ac:dyDescent="0.3">
      <c r="A90" s="11">
        <v>89</v>
      </c>
      <c r="B90" s="8" t="s">
        <v>236</v>
      </c>
      <c r="C90" s="8" t="s">
        <v>26</v>
      </c>
      <c r="D90" s="8" t="s">
        <v>152</v>
      </c>
      <c r="E90" s="12" t="str">
        <f>LEFT(B90,2)&amp;"_"&amp;INDEX(MA_NGHE!A:A,MATCH(TEN_LOP!C90,MA_NGHE!B:B,0),1)&amp;"_"&amp;IF(ISNUMBER(MATCH(RIGHT(B90,1), {"1","2","3","4","5"}, 0)), RIGHT(B90,1), "0")</f>
        <v>51_6520123_2</v>
      </c>
    </row>
    <row r="91" spans="1:5" ht="18.75" x14ac:dyDescent="0.3">
      <c r="A91" s="11">
        <v>90</v>
      </c>
      <c r="B91" s="8" t="s">
        <v>237</v>
      </c>
      <c r="C91" s="8" t="s">
        <v>45</v>
      </c>
      <c r="D91" s="8" t="s">
        <v>201</v>
      </c>
      <c r="E91" s="12" t="str">
        <f>LEFT(B91,2)&amp;"_"&amp;INDEX(MA_NGHE!A:A,MATCH(TEN_LOP!C91,MA_NGHE!B:B,0),1)&amp;"_"&amp;IF(ISNUMBER(MATCH(RIGHT(B91,1), {"1","2","3","4","5"}, 0)), RIGHT(B91,1), "0")</f>
        <v>51_5510217_0</v>
      </c>
    </row>
    <row r="92" spans="1:5" ht="18.75" x14ac:dyDescent="0.3">
      <c r="A92" s="11">
        <v>91</v>
      </c>
      <c r="B92" s="8" t="s">
        <v>238</v>
      </c>
      <c r="C92" s="8" t="s">
        <v>40</v>
      </c>
      <c r="D92" s="8" t="s">
        <v>130</v>
      </c>
      <c r="E92" s="12" t="str">
        <f>LEFT(B92,2)&amp;"_"&amp;INDEX(MA_NGHE!A:A,MATCH(TEN_LOP!C92,MA_NGHE!B:B,0),1)&amp;"_"&amp;IF(ISNUMBER(MATCH(RIGHT(B92,1), {"1","2","3","4","5"}, 0)), RIGHT(B92,1), "0")</f>
        <v>51_5810207_1</v>
      </c>
    </row>
    <row r="93" spans="1:5" ht="18.75" x14ac:dyDescent="0.3">
      <c r="A93" s="11">
        <v>92</v>
      </c>
      <c r="B93" s="8" t="s">
        <v>239</v>
      </c>
      <c r="C93" s="8" t="s">
        <v>40</v>
      </c>
      <c r="D93" s="8" t="s">
        <v>130</v>
      </c>
      <c r="E93" s="12" t="str">
        <f>LEFT(B93,2)&amp;"_"&amp;INDEX(MA_NGHE!A:A,MATCH(TEN_LOP!C93,MA_NGHE!B:B,0),1)&amp;"_"&amp;IF(ISNUMBER(MATCH(RIGHT(B93,1), {"1","2","3","4","5"}, 0)), RIGHT(B93,1), "0")</f>
        <v>51_5810207_2</v>
      </c>
    </row>
    <row r="94" spans="1:5" ht="18.75" x14ac:dyDescent="0.3">
      <c r="A94" s="11">
        <v>93</v>
      </c>
      <c r="B94" s="8" t="s">
        <v>240</v>
      </c>
      <c r="C94" s="8" t="s">
        <v>36</v>
      </c>
      <c r="D94" s="8" t="s">
        <v>168</v>
      </c>
      <c r="E94" s="12" t="str">
        <f>LEFT(B94,2)&amp;"_"&amp;INDEX(MA_NGHE!A:A,MATCH(TEN_LOP!C94,MA_NGHE!B:B,0),1)&amp;"_"&amp;IF(ISNUMBER(MATCH(RIGHT(B94,1), {"1","2","3","4","5"}, 0)), RIGHT(B94,1), "0")</f>
        <v>51_6640101_0</v>
      </c>
    </row>
    <row r="95" spans="1:5" ht="18.75" x14ac:dyDescent="0.3">
      <c r="A95" s="11">
        <v>94</v>
      </c>
      <c r="B95" s="8" t="s">
        <v>241</v>
      </c>
      <c r="C95" s="8" t="s">
        <v>38</v>
      </c>
      <c r="D95" s="8" t="s">
        <v>128</v>
      </c>
      <c r="E95" s="12" t="str">
        <f>LEFT(B95,2)&amp;"_"&amp;INDEX(MA_NGHE!A:A,MATCH(TEN_LOP!C95,MA_NGHE!B:B,0),1)&amp;"_"&amp;IF(ISNUMBER(MATCH(RIGHT(B95,1), {"1","2","3","4","5"}, 0)), RIGHT(B95,1), "0")</f>
        <v>51_5620116_0</v>
      </c>
    </row>
    <row r="96" spans="1:5" ht="18.75" x14ac:dyDescent="0.3">
      <c r="A96" s="11">
        <v>95</v>
      </c>
      <c r="B96" s="8" t="s">
        <v>242</v>
      </c>
      <c r="C96" s="8" t="s">
        <v>49</v>
      </c>
      <c r="D96" s="8" t="s">
        <v>163</v>
      </c>
      <c r="E96" s="12" t="str">
        <f>LEFT(B96,2)&amp;"_"&amp;INDEX(MA_NGHE!A:A,MATCH(TEN_LOP!C96,MA_NGHE!B:B,0),1)&amp;"_"&amp;IF(ISNUMBER(MATCH(RIGHT(B96,1), {"1","2","3","4","5"}, 0)), RIGHT(B96,1), "0")</f>
        <v>51_5540205_1</v>
      </c>
    </row>
    <row r="97" spans="1:5" ht="18.75" x14ac:dyDescent="0.3">
      <c r="A97" s="11">
        <v>96</v>
      </c>
      <c r="B97" s="8" t="s">
        <v>243</v>
      </c>
      <c r="C97" s="8" t="s">
        <v>49</v>
      </c>
      <c r="D97" s="8" t="s">
        <v>163</v>
      </c>
      <c r="E97" s="12" t="str">
        <f>LEFT(B97,2)&amp;"_"&amp;INDEX(MA_NGHE!A:A,MATCH(TEN_LOP!C97,MA_NGHE!B:B,0),1)&amp;"_"&amp;IF(ISNUMBER(MATCH(RIGHT(B97,1), {"1","2","3","4","5"}, 0)), RIGHT(B97,1), "0")</f>
        <v>51_5540205_2</v>
      </c>
    </row>
    <row r="98" spans="1:5" ht="18.75" x14ac:dyDescent="0.3">
      <c r="A98" s="11">
        <v>97</v>
      </c>
      <c r="B98" s="8" t="s">
        <v>244</v>
      </c>
      <c r="C98" s="8" t="s">
        <v>12</v>
      </c>
      <c r="D98" s="8" t="s">
        <v>146</v>
      </c>
      <c r="E98" s="12" t="str">
        <f>LEFT(B98,2)&amp;"_"&amp;INDEX(MA_NGHE!A:A,MATCH(TEN_LOP!C98,MA_NGHE!B:B,0),1)&amp;"_"&amp;IF(ISNUMBER(MATCH(RIGHT(B98,1), {"1","2","3","4","5"}, 0)), RIGHT(B98,1), "0")</f>
        <v>51_6520227_0</v>
      </c>
    </row>
    <row r="99" spans="1:5" ht="18.75" x14ac:dyDescent="0.3">
      <c r="A99" s="11">
        <v>98</v>
      </c>
      <c r="B99" s="8" t="s">
        <v>245</v>
      </c>
      <c r="C99" s="8" t="s">
        <v>6</v>
      </c>
      <c r="D99" s="8" t="s">
        <v>134</v>
      </c>
      <c r="E99" s="12" t="str">
        <f>LEFT(B99,2)&amp;"_"&amp;INDEX(MA_NGHE!A:A,MATCH(TEN_LOP!C99,MA_NGHE!B:B,0),1)&amp;"_"&amp;IF(ISNUMBER(MATCH(RIGHT(B99,1), {"1","2","3","4","5"}, 0)), RIGHT(B99,1), "0")</f>
        <v>51_6510216_4</v>
      </c>
    </row>
    <row r="100" spans="1:5" ht="18.75" x14ac:dyDescent="0.3">
      <c r="A100" s="11">
        <v>99</v>
      </c>
      <c r="B100" s="8" t="s">
        <v>246</v>
      </c>
      <c r="C100" s="8" t="s">
        <v>16</v>
      </c>
      <c r="D100" s="8" t="s">
        <v>157</v>
      </c>
      <c r="E100" s="12" t="str">
        <f>LEFT(B100,2)&amp;"_"&amp;INDEX(MA_NGHE!A:A,MATCH(TEN_LOP!C100,MA_NGHE!B:B,0),1)&amp;"_"&amp;IF(ISNUMBER(MATCH(RIGHT(B100,1), {"1","2","3","4","5"}, 0)), RIGHT(B100,1), "0")</f>
        <v>51_5520205_0</v>
      </c>
    </row>
    <row r="101" spans="1:5" ht="18.75" x14ac:dyDescent="0.3">
      <c r="A101" s="11">
        <v>100</v>
      </c>
      <c r="B101" s="8" t="s">
        <v>247</v>
      </c>
      <c r="C101" s="8" t="s">
        <v>18</v>
      </c>
      <c r="D101" s="8" t="s">
        <v>140</v>
      </c>
      <c r="E101" s="12" t="str">
        <f>LEFT(B101,2)&amp;"_"&amp;INDEX(MA_NGHE!A:A,MATCH(TEN_LOP!C101,MA_NGHE!B:B,0),1)&amp;"_"&amp;IF(ISNUMBER(MATCH(RIGHT(B101,1), {"1","2","3","4","5"}, 0)), RIGHT(B101,1), "0")</f>
        <v>51_5480202_2</v>
      </c>
    </row>
    <row r="102" spans="1:5" ht="18.75" x14ac:dyDescent="0.3">
      <c r="A102" s="11">
        <v>101</v>
      </c>
      <c r="B102" s="8" t="s">
        <v>248</v>
      </c>
      <c r="C102" s="8" t="s">
        <v>6</v>
      </c>
      <c r="D102" s="8" t="s">
        <v>134</v>
      </c>
      <c r="E102" s="12" t="str">
        <f>LEFT(B102,2)&amp;"_"&amp;INDEX(MA_NGHE!A:A,MATCH(TEN_LOP!C102,MA_NGHE!B:B,0),1)&amp;"_"&amp;IF(ISNUMBER(MATCH(RIGHT(B102,1), {"1","2","3","4","5"}, 0)), RIGHT(B102,1), "0")</f>
        <v>51_6510216_1</v>
      </c>
    </row>
    <row r="103" spans="1:5" ht="18.75" x14ac:dyDescent="0.3">
      <c r="A103" s="11">
        <v>102</v>
      </c>
      <c r="B103" s="8" t="s">
        <v>249</v>
      </c>
      <c r="C103" s="8" t="s">
        <v>8</v>
      </c>
      <c r="D103" s="8" t="s">
        <v>174</v>
      </c>
      <c r="E103" s="12" t="str">
        <f>LEFT(B103,2)&amp;"_"&amp;INDEX(MA_NGHE!A:A,MATCH(TEN_LOP!C103,MA_NGHE!B:B,0),1)&amp;"_"&amp;IF(ISNUMBER(MATCH(RIGHT(B103,1), {"1","2","3","4","5"}, 0)), RIGHT(B103,1), "0")</f>
        <v>51_6510202_2</v>
      </c>
    </row>
    <row r="104" spans="1:5" ht="18.75" x14ac:dyDescent="0.3">
      <c r="A104" s="11">
        <v>103</v>
      </c>
      <c r="B104" s="8" t="s">
        <v>250</v>
      </c>
      <c r="C104" s="8" t="s">
        <v>6</v>
      </c>
      <c r="D104" s="8" t="s">
        <v>134</v>
      </c>
      <c r="E104" s="12" t="str">
        <f>LEFT(B104,2)&amp;"_"&amp;INDEX(MA_NGHE!A:A,MATCH(TEN_LOP!C104,MA_NGHE!B:B,0),1)&amp;"_"&amp;IF(ISNUMBER(MATCH(RIGHT(B104,1), {"1","2","3","4","5"}, 0)), RIGHT(B104,1), "0")</f>
        <v>51_6510216_3</v>
      </c>
    </row>
    <row r="105" spans="1:5" ht="18.75" x14ac:dyDescent="0.3">
      <c r="A105" s="11">
        <v>104</v>
      </c>
      <c r="B105" s="8" t="s">
        <v>251</v>
      </c>
      <c r="C105" s="8" t="s">
        <v>8</v>
      </c>
      <c r="D105" s="8" t="s">
        <v>174</v>
      </c>
      <c r="E105" s="12" t="str">
        <f>LEFT(B105,2)&amp;"_"&amp;INDEX(MA_NGHE!A:A,MATCH(TEN_LOP!C105,MA_NGHE!B:B,0),1)&amp;"_"&amp;IF(ISNUMBER(MATCH(RIGHT(B105,1), {"1","2","3","4","5"}, 0)), RIGHT(B105,1), "0")</f>
        <v>51_6510202_1</v>
      </c>
    </row>
    <row r="106" spans="1:5" ht="18.75" x14ac:dyDescent="0.3">
      <c r="A106" s="11">
        <v>105</v>
      </c>
      <c r="B106" s="8" t="s">
        <v>252</v>
      </c>
      <c r="C106" s="8" t="s">
        <v>8</v>
      </c>
      <c r="D106" s="8" t="s">
        <v>174</v>
      </c>
      <c r="E106" s="12" t="str">
        <f>LEFT(B106,2)&amp;"_"&amp;INDEX(MA_NGHE!A:A,MATCH(TEN_LOP!C106,MA_NGHE!B:B,0),1)&amp;"_"&amp;IF(ISNUMBER(MATCH(RIGHT(B106,1), {"1","2","3","4","5"}, 0)), RIGHT(B106,1), "0")</f>
        <v>51_6510202_2</v>
      </c>
    </row>
    <row r="107" spans="1:5" ht="18.75" x14ac:dyDescent="0.3">
      <c r="A107" s="11">
        <v>106</v>
      </c>
      <c r="B107" s="8" t="s">
        <v>253</v>
      </c>
      <c r="C107" s="8" t="s">
        <v>36</v>
      </c>
      <c r="D107" s="8" t="s">
        <v>168</v>
      </c>
      <c r="E107" s="12" t="str">
        <f>LEFT(B107,2)&amp;"_"&amp;INDEX(MA_NGHE!A:A,MATCH(TEN_LOP!C107,MA_NGHE!B:B,0),1)&amp;"_"&amp;IF(ISNUMBER(MATCH(RIGHT(B107,1), {"1","2","3","4","5"}, 0)), RIGHT(B107,1), "0")</f>
        <v>51_6640101_1</v>
      </c>
    </row>
    <row r="108" spans="1:5" ht="18.75" x14ac:dyDescent="0.3">
      <c r="A108" s="11">
        <v>107</v>
      </c>
      <c r="B108" s="8" t="s">
        <v>254</v>
      </c>
      <c r="C108" s="8" t="s">
        <v>36</v>
      </c>
      <c r="D108" s="8" t="s">
        <v>168</v>
      </c>
      <c r="E108" s="12" t="str">
        <f>LEFT(B108,2)&amp;"_"&amp;INDEX(MA_NGHE!A:A,MATCH(TEN_LOP!C108,MA_NGHE!B:B,0),1)&amp;"_"&amp;IF(ISNUMBER(MATCH(RIGHT(B108,1), {"1","2","3","4","5"}, 0)), RIGHT(B108,1), "0")</f>
        <v>51_6640101_2</v>
      </c>
    </row>
    <row r="109" spans="1:5" ht="18.75" x14ac:dyDescent="0.3">
      <c r="A109" s="11">
        <v>108</v>
      </c>
      <c r="B109" s="8" t="s">
        <v>255</v>
      </c>
      <c r="C109" s="8" t="s">
        <v>38</v>
      </c>
      <c r="D109" s="8" t="s">
        <v>128</v>
      </c>
      <c r="E109" s="12" t="str">
        <f>LEFT(B109,2)&amp;"_"&amp;INDEX(MA_NGHE!A:A,MATCH(TEN_LOP!C109,MA_NGHE!B:B,0),1)&amp;"_"&amp;IF(ISNUMBER(MATCH(RIGHT(B109,1), {"1","2","3","4","5"}, 0)), RIGHT(B109,1), "0")</f>
        <v>51_5620116_0</v>
      </c>
    </row>
    <row r="110" spans="1:5" ht="18.75" x14ac:dyDescent="0.3">
      <c r="A110" s="11">
        <v>109</v>
      </c>
      <c r="B110" s="8" t="s">
        <v>256</v>
      </c>
      <c r="C110" s="8" t="s">
        <v>12</v>
      </c>
      <c r="D110" s="8" t="s">
        <v>146</v>
      </c>
      <c r="E110" s="12" t="str">
        <f>LEFT(B110,2)&amp;"_"&amp;INDEX(MA_NGHE!A:A,MATCH(TEN_LOP!C110,MA_NGHE!B:B,0),1)&amp;"_"&amp;IF(ISNUMBER(MATCH(RIGHT(B110,1), {"1","2","3","4","5"}, 0)), RIGHT(B110,1), "0")</f>
        <v>51_6520227_0</v>
      </c>
    </row>
    <row r="111" spans="1:5" ht="18.75" x14ac:dyDescent="0.3">
      <c r="A111" s="11">
        <v>110</v>
      </c>
      <c r="B111" s="8" t="s">
        <v>257</v>
      </c>
      <c r="C111" s="8" t="s">
        <v>16</v>
      </c>
      <c r="D111" s="8" t="s">
        <v>157</v>
      </c>
      <c r="E111" s="12" t="str">
        <f>LEFT(B111,2)&amp;"_"&amp;INDEX(MA_NGHE!A:A,MATCH(TEN_LOP!C111,MA_NGHE!B:B,0),1)&amp;"_"&amp;IF(ISNUMBER(MATCH(RIGHT(B111,1), {"1","2","3","4","5"}, 0)), RIGHT(B111,1), "0")</f>
        <v>51_5520205_0</v>
      </c>
    </row>
    <row r="112" spans="1:5" ht="18.75" x14ac:dyDescent="0.3">
      <c r="A112" s="11">
        <v>111</v>
      </c>
      <c r="B112" s="8" t="s">
        <v>258</v>
      </c>
      <c r="C112" s="8" t="s">
        <v>10</v>
      </c>
      <c r="D112" s="8" t="s">
        <v>222</v>
      </c>
      <c r="E112" s="12" t="str">
        <f>LEFT(B112,2)&amp;"_"&amp;INDEX(MA_NGHE!A:A,MATCH(TEN_LOP!C112,MA_NGHE!B:B,0),1)&amp;"_"&amp;IF(ISNUMBER(MATCH(RIGHT(B112,1), {"1","2","3","4","5"}, 0)), RIGHT(B112,1), "0")</f>
        <v>51_6510303_0</v>
      </c>
    </row>
    <row r="113" spans="1:5" ht="18.75" x14ac:dyDescent="0.3">
      <c r="A113" s="11">
        <v>112</v>
      </c>
      <c r="B113" s="8" t="s">
        <v>259</v>
      </c>
      <c r="C113" s="8" t="s">
        <v>18</v>
      </c>
      <c r="D113" s="8" t="s">
        <v>140</v>
      </c>
      <c r="E113" s="12" t="str">
        <f>LEFT(B113,2)&amp;"_"&amp;INDEX(MA_NGHE!A:A,MATCH(TEN_LOP!C113,MA_NGHE!B:B,0),1)&amp;"_"&amp;IF(ISNUMBER(MATCH(RIGHT(B113,1), {"1","2","3","4","5"}, 0)), RIGHT(B113,1), "0")</f>
        <v>51_5480202_0</v>
      </c>
    </row>
    <row r="114" spans="1:5" ht="18.75" x14ac:dyDescent="0.3">
      <c r="A114" s="11">
        <v>113</v>
      </c>
      <c r="B114" s="8" t="s">
        <v>260</v>
      </c>
      <c r="C114" s="8" t="s">
        <v>40</v>
      </c>
      <c r="D114" s="8" t="s">
        <v>130</v>
      </c>
      <c r="E114" s="12" t="str">
        <f>LEFT(B114,2)&amp;"_"&amp;INDEX(MA_NGHE!A:A,MATCH(TEN_LOP!C114,MA_NGHE!B:B,0),1)&amp;"_"&amp;IF(ISNUMBER(MATCH(RIGHT(B114,1), {"1","2","3","4","5"}, 0)), RIGHT(B114,1), "0")</f>
        <v>51_5810207_0</v>
      </c>
    </row>
    <row r="115" spans="1:5" ht="18.75" x14ac:dyDescent="0.3">
      <c r="A115" s="11">
        <v>114</v>
      </c>
      <c r="B115" s="8" t="s">
        <v>261</v>
      </c>
      <c r="C115" s="8" t="s">
        <v>26</v>
      </c>
      <c r="D115" s="8" t="s">
        <v>152</v>
      </c>
      <c r="E115" s="12" t="str">
        <f>LEFT(B115,2)&amp;"_"&amp;INDEX(MA_NGHE!A:A,MATCH(TEN_LOP!C115,MA_NGHE!B:B,0),1)&amp;"_"&amp;IF(ISNUMBER(MATCH(RIGHT(B115,1), {"1","2","3","4","5"}, 0)), RIGHT(B115,1), "0")</f>
        <v>51_6520123_0</v>
      </c>
    </row>
  </sheetData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MA_NGHE</vt:lpstr>
      <vt:lpstr>TEN_LOP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Cao đẳng Đắk Lắk</dc:creator>
  <cp:lastModifiedBy>Cao đẳng Đắk Lắk</cp:lastModifiedBy>
  <dcterms:created xsi:type="dcterms:W3CDTF">2026-01-23T07:21:26Z</dcterms:created>
  <dcterms:modified xsi:type="dcterms:W3CDTF">2026-01-23T08:06:52Z</dcterms:modified>
</cp:coreProperties>
</file>