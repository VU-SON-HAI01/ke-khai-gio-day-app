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k\Downloads\"/>
    </mc:Choice>
  </mc:AlternateContent>
  <xr:revisionPtr revIDLastSave="0" documentId="13_ncr:1_{CC28F8E1-F123-45DF-8B27-57B4F2A377B0}" xr6:coauthVersionLast="47" xr6:coauthVersionMax="47" xr10:uidLastSave="{00000000-0000-0000-0000-000000000000}"/>
  <bookViews>
    <workbookView xWindow="-108" yWindow="-108" windowWidth="29016" windowHeight="15696" activeTab="4" xr2:uid="{C4E3B114-25AA-44A2-901E-3BDFA282D80A}"/>
  </bookViews>
  <sheets>
    <sheet name="COI_CHAM_THI_TN" sheetId="1" r:id="rId1"/>
    <sheet name="COI_CHAM_HK1" sheetId="5" r:id="rId2"/>
    <sheet name="COI_CHAM_HK2" sheetId="2" r:id="rId3"/>
    <sheet name="HOC_TAP_DN" sheetId="6" r:id="rId4"/>
    <sheet name="NGAN_HANG_DE" sheetId="7" r:id="rId5"/>
    <sheet name="DS_GIAOVIEN" sheetId="3" r:id="rId6"/>
  </sheets>
  <definedNames>
    <definedName name="_xlnm._FilterDatabase" localSheetId="1" hidden="1">COI_CHAM_HK1!$D$1:$D$173</definedName>
    <definedName name="_xlnm._FilterDatabase" localSheetId="2" hidden="1">COI_CHAM_HK2!$D$1:$D$173</definedName>
    <definedName name="_xlnm._FilterDatabase" localSheetId="0" hidden="1">COI_CHAM_THI_TN!$D$1:$D$124</definedName>
    <definedName name="_xlnm._FilterDatabase" localSheetId="5" hidden="1">DS_GIAOVIEN!$B$1:$B$993</definedName>
    <definedName name="_xlnm._FilterDatabase" localSheetId="3" hidden="1">HOC_TAP_DN!$D$1:$D$121</definedName>
    <definedName name="_xlnm._FilterDatabase" localSheetId="4" hidden="1">NGAN_HANG_DE!$D$1:$D$151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2" i="7"/>
  <c r="D2" i="6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2" i="1"/>
  <c r="D173" i="5" l="1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2" i="2"/>
</calcChain>
</file>

<file path=xl/sharedStrings.xml><?xml version="1.0" encoding="utf-8"?>
<sst xmlns="http://schemas.openxmlformats.org/spreadsheetml/2006/main" count="1231" uniqueCount="255">
  <si>
    <t>STT</t>
  </si>
  <si>
    <t>Họ và tên</t>
  </si>
  <si>
    <t>Đinh Trọng Hiếu</t>
  </si>
  <si>
    <t>Hồ Viết Thắng</t>
  </si>
  <si>
    <t>Phan Văn Kỳ</t>
  </si>
  <si>
    <t>Vũ Văn Quang</t>
  </si>
  <si>
    <t>Phạm Thúc Định</t>
  </si>
  <si>
    <t>Lê Ngọc Trung</t>
  </si>
  <si>
    <t>Lâm Đức Sơn</t>
  </si>
  <si>
    <t>Nguyễn Thị Ái Nhi</t>
  </si>
  <si>
    <t>Nguyễn Bá Hoàn</t>
  </si>
  <si>
    <t>Đặng Xuân Hạnh</t>
  </si>
  <si>
    <t>Trần Thanh Dũng</t>
  </si>
  <si>
    <t>Nguyễn Thị Thu Hà</t>
  </si>
  <si>
    <t>Phan Thị Hà</t>
  </si>
  <si>
    <t>Vũ Văn Minh</t>
  </si>
  <si>
    <t>Đỗ Tất Thiện</t>
  </si>
  <si>
    <t>Nguyễn Hữu Hoành</t>
  </si>
  <si>
    <t>Nguyễn Quốc Toàn</t>
  </si>
  <si>
    <t>Đào Xuân Quỳnh</t>
  </si>
  <si>
    <t>Trương Minh Trí</t>
  </si>
  <si>
    <t>Nguyễn Xuân Vỹ</t>
  </si>
  <si>
    <t>Hoàng Trung Kiên</t>
  </si>
  <si>
    <t>Nguyễn Như Trung</t>
  </si>
  <si>
    <t>Hoàng Thị Mền</t>
  </si>
  <si>
    <t>Đỗ Thị Quỳnh Anh</t>
  </si>
  <si>
    <t>Y Joen Niê Kdăm</t>
  </si>
  <si>
    <t>Lê Thị Hạnh Phúc</t>
  </si>
  <si>
    <t>Nguyễn Thị Hải Yến</t>
  </si>
  <si>
    <t>Ngô Thùy Hương</t>
  </si>
  <si>
    <t>Nguyễn Ngọc Châu</t>
  </si>
  <si>
    <t>Nguyễn Thị Hồng Phương</t>
  </si>
  <si>
    <t>Trần Ngọc Điệp</t>
  </si>
  <si>
    <t>Nguyễn Hữu Hiệp</t>
  </si>
  <si>
    <t>Nguyễn Bá Phi</t>
  </si>
  <si>
    <t>Phạm Quốc Lập</t>
  </si>
  <si>
    <t>Hồ Đức Nhân</t>
  </si>
  <si>
    <t>Đào Minh Thủy</t>
  </si>
  <si>
    <t>Hồ Văn Thông</t>
  </si>
  <si>
    <t>Trịnh Văn Thuyết</t>
  </si>
  <si>
    <t>Lê Thị Hạnh</t>
  </si>
  <si>
    <t>Chu Văn Cung</t>
  </si>
  <si>
    <t>Lê Thị Minh Thùy</t>
  </si>
  <si>
    <t>Trần Văn Nhàn</t>
  </si>
  <si>
    <t>Lê Văn Tùng</t>
  </si>
  <si>
    <t>Dương Thị Thúy Hoàng</t>
  </si>
  <si>
    <t>Nguyễn Như Kiên</t>
  </si>
  <si>
    <t>Nguyễn Võ Danh</t>
  </si>
  <si>
    <t>Nguyễn Khôi Nguyên</t>
  </si>
  <si>
    <t>Nguyễn Thanh Dinh</t>
  </si>
  <si>
    <t>Nguyễn Ngọc Khoa</t>
  </si>
  <si>
    <t>Nguyễn Viết Nông</t>
  </si>
  <si>
    <t>Phan Tấn Đạt</t>
  </si>
  <si>
    <t>Nguyễn Thị Hải</t>
  </si>
  <si>
    <t>La Văn Nam</t>
  </si>
  <si>
    <t>Nguyễn Văn Công</t>
  </si>
  <si>
    <t>Nguyễn Xuân Nguyên</t>
  </si>
  <si>
    <t>Nguyễn Văn Chính</t>
  </si>
  <si>
    <t>Phạm Xuân Vinh</t>
  </si>
  <si>
    <t>Nguyễn Văn Độ</t>
  </si>
  <si>
    <t>Đỗ Thị Kiều Vân</t>
  </si>
  <si>
    <t>Nguyễn Thị Miền</t>
  </si>
  <si>
    <t>Vũ Thị Lệ Thủy</t>
  </si>
  <si>
    <t>Bùi Thị Lý</t>
  </si>
  <si>
    <t>Vũ Đình Thi</t>
  </si>
  <si>
    <t>Võ Thị Cẩm Thơ</t>
  </si>
  <si>
    <t>Nguyễn Anh Duy</t>
  </si>
  <si>
    <t>Phạm Thị Thu Hạnh</t>
  </si>
  <si>
    <t>Trần Văn Tường</t>
  </si>
  <si>
    <t>Ngô Xuân Thành</t>
  </si>
  <si>
    <t>Trần Lâm Sơn</t>
  </si>
  <si>
    <t>Dương Hồng Phước</t>
  </si>
  <si>
    <t>Trần Ngọc Thanh</t>
  </si>
  <si>
    <t>Y Louit Niê</t>
  </si>
  <si>
    <t>Nguyễn Anh Vinh</t>
  </si>
  <si>
    <t>Dương Duy Hậu</t>
  </si>
  <si>
    <t>Cao Hữu Hải</t>
  </si>
  <si>
    <t>Lê Ngọc An</t>
  </si>
  <si>
    <t>Y Khoa Niê Kdăm</t>
  </si>
  <si>
    <t>Trương Văn Giản</t>
  </si>
  <si>
    <t>Huỳnh Ngọc Đồng</t>
  </si>
  <si>
    <t>Ngô Phạm Hồng Phước</t>
  </si>
  <si>
    <t>Huỳnh Ngọc Tùng</t>
  </si>
  <si>
    <t>Nguyễn Hùng Anh</t>
  </si>
  <si>
    <t>Trần Văn Dũng</t>
  </si>
  <si>
    <t>Trần Thanh Dương</t>
  </si>
  <si>
    <t>Bùi Văn Bảy</t>
  </si>
  <si>
    <t>Nguyễn Thị Thu Dung</t>
  </si>
  <si>
    <t>Nguyễn Thị Thu Thủy</t>
  </si>
  <si>
    <t>Ngô Thị Mỹ Hạnh</t>
  </si>
  <si>
    <t>Cao Nữ Việt Anh</t>
  </si>
  <si>
    <t>Phạm Thị Thúy Vân</t>
  </si>
  <si>
    <t>Trần Thị Bích Thùy</t>
  </si>
  <si>
    <t>Hán Văn Trung</t>
  </si>
  <si>
    <t>Nguyễn Thị Mộng Linh</t>
  </si>
  <si>
    <t>Nguyễn Thị Hương Thảo</t>
  </si>
  <si>
    <t>Nguyễn Trần Hồng Quân</t>
  </si>
  <si>
    <t>Nguyễn Thị Giang</t>
  </si>
  <si>
    <t>Trần Anh Tuấn</t>
  </si>
  <si>
    <t>Phạm Văn Nguyên</t>
  </si>
  <si>
    <t>Trần Ngọc Sơn Hùng</t>
  </si>
  <si>
    <t>Cao Xuân Cường</t>
  </si>
  <si>
    <t>Đặng Văn Dung</t>
  </si>
  <si>
    <t>Nguyễn Trung Kiên</t>
  </si>
  <si>
    <t>Lê Khánh Toàn</t>
  </si>
  <si>
    <t>Trịnh Thị Thảo Quyên</t>
  </si>
  <si>
    <t>H Chel H' Mok</t>
  </si>
  <si>
    <t>Nguyễn Thị Lạc Việt</t>
  </si>
  <si>
    <t>Thân Thị Chung</t>
  </si>
  <si>
    <t>Phạm Tiến Thành</t>
  </si>
  <si>
    <t>Trần Thị Thu Thúy</t>
  </si>
  <si>
    <t>Vũ Thị Hoài Thanh</t>
  </si>
  <si>
    <t>Phan Thị Loan</t>
  </si>
  <si>
    <t>Trịnh Thị Mỹ Hạnh</t>
  </si>
  <si>
    <t>Y Tho Byă</t>
  </si>
  <si>
    <t>Nguyễn Văn Thành</t>
  </si>
  <si>
    <t>Nguyễn Thị Phương</t>
  </si>
  <si>
    <t>Phạm Văn Quang</t>
  </si>
  <si>
    <t>Trương Võ Thành</t>
  </si>
  <si>
    <t>Nguyễn Thị Bích Ngọc</t>
  </si>
  <si>
    <t>Trần Thanh Hải</t>
  </si>
  <si>
    <t>Nguyễn Ngọc Tuấn</t>
  </si>
  <si>
    <t>Nguyễn Thành Chung</t>
  </si>
  <si>
    <t>Y Si la Knul</t>
  </si>
  <si>
    <t>H' Diện Niê</t>
  </si>
  <si>
    <t>Trần Thị Cẩm Linh</t>
  </si>
  <si>
    <t>Huỳnh Thị Ngọc Ánh</t>
  </si>
  <si>
    <t>Ngô Thị Minh Châu</t>
  </si>
  <si>
    <t>Nguyễn Thị Luyên</t>
  </si>
  <si>
    <t>Nguyễn Thị Mai Lan</t>
  </si>
  <si>
    <t>Y Wel Ênuôl</t>
  </si>
  <si>
    <t>Nguyễn Thành Nguyên</t>
  </si>
  <si>
    <t>Nguyễn Anh Thái</t>
  </si>
  <si>
    <t>Nguyễn Quốc Tuấn</t>
  </si>
  <si>
    <t>Nguyễn Mạnh Quế</t>
  </si>
  <si>
    <t>Lưu Thiện Luật</t>
  </si>
  <si>
    <t>Trần Thị Kim Dung</t>
  </si>
  <si>
    <t>Huỳnh Ngọc Hoài Phương</t>
  </si>
  <si>
    <t>Nguyễn Thị Luyến</t>
  </si>
  <si>
    <t>Nguyễn Thanh Tịnh</t>
  </si>
  <si>
    <t>Mai Hồng Song</t>
  </si>
  <si>
    <t>Đinh Việt Nam</t>
  </si>
  <si>
    <t>Lê Hữu Tín</t>
  </si>
  <si>
    <t>Trịnh Thị Thu Hiền</t>
  </si>
  <si>
    <t>Đặng Ngọc Toàn</t>
  </si>
  <si>
    <t>Trần Thị Huyền Thương</t>
  </si>
  <si>
    <t>Đinh phú Nguyên</t>
  </si>
  <si>
    <t>Nguyễn Đức Anh</t>
  </si>
  <si>
    <t>Y Tô Niê Hra</t>
  </si>
  <si>
    <t>Trần Văn Khi</t>
  </si>
  <si>
    <t>Trịnh Xuân Yên</t>
  </si>
  <si>
    <t>Trần Hoàng Anh</t>
  </si>
  <si>
    <t>Phan Anh Hậu</t>
  </si>
  <si>
    <t>Ngô Quang Vinh</t>
  </si>
  <si>
    <t>Nguyễn Trung Hiếu</t>
  </si>
  <si>
    <t>Nguyễn Hữu Nghĩa</t>
  </si>
  <si>
    <t>Trần Văn Hương</t>
  </si>
  <si>
    <t>Nguyễn Phúc Nhật</t>
  </si>
  <si>
    <t>Lê Quang Duy</t>
  </si>
  <si>
    <t>Trần Thanh Hùng</t>
  </si>
  <si>
    <t>Mai Văn Hân</t>
  </si>
  <si>
    <t>Phạm Minh Tuấn</t>
  </si>
  <si>
    <t>Cao Tiến Nam</t>
  </si>
  <si>
    <t>Chu Văn Đức</t>
  </si>
  <si>
    <t>Đinh Thị Yến</t>
  </si>
  <si>
    <t>Nghiêm Thị Phượng</t>
  </si>
  <si>
    <t>Lưu Anh Tuấn</t>
  </si>
  <si>
    <t>Nguyễn Hồng Quân</t>
  </si>
  <si>
    <t>Phan Bằng Thạch</t>
  </si>
  <si>
    <t>Trần Thị Thơ</t>
  </si>
  <si>
    <t>Lương Văn Cảnh</t>
  </si>
  <si>
    <t>Nguyễn Đình Quý</t>
  </si>
  <si>
    <t>TT</t>
  </si>
  <si>
    <t>Magv</t>
  </si>
  <si>
    <t>Chức vụ_HT</t>
  </si>
  <si>
    <t>1001</t>
  </si>
  <si>
    <t>Vũ Hùng Mạnh</t>
  </si>
  <si>
    <t>TK</t>
  </si>
  <si>
    <t>Mai Thị Tố Quyên</t>
  </si>
  <si>
    <t>PTK</t>
  </si>
  <si>
    <t>Đoàn Minh Hùng</t>
  </si>
  <si>
    <t>Bùi Ngọc Anh</t>
  </si>
  <si>
    <t>GV</t>
  </si>
  <si>
    <t>Lê Thị Thu Dung</t>
  </si>
  <si>
    <t>Y Thao Êban</t>
  </si>
  <si>
    <t>Nguyễn Thị Việt Hà</t>
  </si>
  <si>
    <t>Trần Thị Thu Hiền</t>
  </si>
  <si>
    <t>Trần Thị Thanh Huyền</t>
  </si>
  <si>
    <t>Nhữ Thị Thu Hương</t>
  </si>
  <si>
    <t>H Nhin Kbuôr</t>
  </si>
  <si>
    <t>Phạm Thị Phương Lan</t>
  </si>
  <si>
    <t>Bùi Thanh Loan</t>
  </si>
  <si>
    <t>Trần Kông Long</t>
  </si>
  <si>
    <t>Lâm Quỳnh Đỗ Mai</t>
  </si>
  <si>
    <t>Võ Thị Nguyệt</t>
  </si>
  <si>
    <t>Ngũ Thị Thanh Nhàn</t>
  </si>
  <si>
    <t>Phạm Hoàng Nhi</t>
  </si>
  <si>
    <t>Nguyễn Hồng Quân (Toán)</t>
  </si>
  <si>
    <t>Nguyễn Thị Thanh</t>
  </si>
  <si>
    <t>Đỗ Thị Thanh Thảo</t>
  </si>
  <si>
    <t>Dương Đức Thế</t>
  </si>
  <si>
    <t>Vũ Thị Thu</t>
  </si>
  <si>
    <t>Nguyễn Thị Thu (Văn)</t>
  </si>
  <si>
    <t>Nguyễn Thị Thu (Toán)</t>
  </si>
  <si>
    <t>Mai Thị Thừa</t>
  </si>
  <si>
    <t>Triệu Thị Thương Thương</t>
  </si>
  <si>
    <t>Cao Long Vĩ</t>
  </si>
  <si>
    <t>Hoàng Đạt Vượng</t>
  </si>
  <si>
    <t>Nguyễn Thị Xuyến</t>
  </si>
  <si>
    <t>Nguyễn Thị Hoài Phương</t>
  </si>
  <si>
    <t>Giáo vụ</t>
  </si>
  <si>
    <t>Nguyễn Tiến Mạnh</t>
  </si>
  <si>
    <t>Võ Anh Vũ</t>
  </si>
  <si>
    <t>Phạm Thị Mỵ</t>
  </si>
  <si>
    <t>Trần Thị Như Hạnh</t>
  </si>
  <si>
    <t>Đinh Phú Nguyên</t>
  </si>
  <si>
    <t>Nguyễn Thị Thùy Linh</t>
  </si>
  <si>
    <t>Trần Thị Minh Trang</t>
  </si>
  <si>
    <t>Nguyễn Thị Thanh Nhàn</t>
  </si>
  <si>
    <t>Nguyễn Thị Thu Hà (Thú Y)</t>
  </si>
  <si>
    <t>Nguyễn Thị Giáng</t>
  </si>
  <si>
    <t>Võ Thị Thu Hoa</t>
  </si>
  <si>
    <t>Hoàng Thiếu Sơn</t>
  </si>
  <si>
    <t>Đỗ Thùy Dương</t>
  </si>
  <si>
    <t>Nguyễn Thị Xinh Nhã</t>
  </si>
  <si>
    <t>Chu Thị Lan</t>
  </si>
  <si>
    <t>Hoàng Thị Kim Ngân</t>
  </si>
  <si>
    <t>Lê Thị Thu Hà</t>
  </si>
  <si>
    <t>H' Bai Hmok</t>
  </si>
  <si>
    <t>NV</t>
  </si>
  <si>
    <t>Y Andray Mlô</t>
  </si>
  <si>
    <t>Phan Văn Bình</t>
  </si>
  <si>
    <t>Hoàng Minh Cương</t>
  </si>
  <si>
    <t>HT</t>
  </si>
  <si>
    <t>PHT</t>
  </si>
  <si>
    <t>Trương Thị Dung</t>
  </si>
  <si>
    <t>TP</t>
  </si>
  <si>
    <t>PTP</t>
  </si>
  <si>
    <t>Vũ Sơn Hải</t>
  </si>
  <si>
    <t>Hoàng Nguyễn Minh Tuấn</t>
  </si>
  <si>
    <t>Đậu Đình Sáng</t>
  </si>
  <si>
    <t>Nguyễn Anh Tài</t>
  </si>
  <si>
    <t>Đào Duy Tần</t>
  </si>
  <si>
    <t>Triệu Quang Hùng</t>
  </si>
  <si>
    <t>Nguyễn Thị Mai Trinh</t>
  </si>
  <si>
    <t>Vũ Thái Phương</t>
  </si>
  <si>
    <t>Vi Thị Thuận</t>
  </si>
  <si>
    <t>Lê Nữ Hòa</t>
  </si>
  <si>
    <t>Trần Thị Minh Lý</t>
  </si>
  <si>
    <t>Hùng lái xe</t>
  </si>
  <si>
    <t>Kiểm tra</t>
  </si>
  <si>
    <t>Nguyễn Hữu Khánh</t>
  </si>
  <si>
    <t>Nguyễn Phương Nhâm</t>
  </si>
  <si>
    <t>Lê Thị Hạnh phúc</t>
  </si>
  <si>
    <t>Tổng_cộng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</si>
</sst>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0"/>
      <color theme="1"/>
      <name val="Arial"/>
      <family val="2"/>
      <charset val="163"/>
    </font>
    <font>
      <sz val="11"/>
      <color rgb="FF000000"/>
      <name val="Arial"/>
      <family val="2"/>
      <charset val="163"/>
    </font>
    <font>
      <sz val="11"/>
      <color rgb="FFFF0000"/>
      <name val="Arial"/>
      <family val="2"/>
      <charset val="163"/>
    </font>
    <font>
      <sz val="11"/>
      <color theme="1"/>
      <name val="Arial"/>
      <family val="2"/>
      <charset val="163"/>
    </font>
    <font>
      <sz val="11"/>
      <color theme="1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left"/>
    </xf>
    <xf numFmtId="0" fontId="7" fillId="0" borderId="0" xfId="0" applyFont="1"/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01FF-19D9-4675-B0A0-8A32EED0A3D3}">
  <dimension ref="A1:D124"/>
  <sheetViews>
    <sheetView workbookViewId="0">
      <selection activeCell="B1" sqref="B1"/>
    </sheetView>
  </sheetViews>
  <sheetFormatPr defaultRowHeight="13.8" x14ac:dyDescent="0.25"/>
  <cols>
    <col min="1" max="1" width="11.3984375" customWidth="1"/>
    <col min="2" max="2" width="24.796875" style="6" customWidth="1"/>
    <col min="3" max="3" width="16.796875" customWidth="1"/>
    <col min="4" max="4" width="18.8984375" customWidth="1"/>
  </cols>
  <sheetData>
    <row r="1" spans="1:4" ht="18" customHeight="1" x14ac:dyDescent="0.25">
      <c r="A1" s="16" t="s">
        <v>0</v>
      </c>
      <c r="B1" s="18" t="s">
        <v>1</v>
      </c>
      <c r="C1" s="17" t="s">
        <v>254</v>
      </c>
      <c r="D1" s="17" t="s">
        <v>250</v>
      </c>
    </row>
    <row r="2" spans="1:4" s="15" customFormat="1" ht="19.2" customHeight="1" x14ac:dyDescent="0.25">
      <c r="A2" s="8">
        <v>1</v>
      </c>
      <c r="B2" s="9" t="s">
        <v>2</v>
      </c>
      <c r="C2" s="10">
        <v>19.399999999999999</v>
      </c>
      <c r="D2" s="7" t="str">
        <f>INDEX(DS_GIAOVIEN!B:B,MATCH(B2,DS_GIAOVIEN!B:B,0),1)</f>
        <v>Đinh Trọng Hiếu</v>
      </c>
    </row>
    <row r="3" spans="1:4" s="15" customFormat="1" ht="19.2" customHeight="1" x14ac:dyDescent="0.25">
      <c r="A3" s="8">
        <v>2</v>
      </c>
      <c r="B3" s="9" t="s">
        <v>3</v>
      </c>
      <c r="C3" s="10">
        <v>2.6999999999999997</v>
      </c>
      <c r="D3" s="7" t="str">
        <f>INDEX(DS_GIAOVIEN!B:B,MATCH(B3,DS_GIAOVIEN!B:B,0),1)</f>
        <v>Hồ Viết Thắng</v>
      </c>
    </row>
    <row r="4" spans="1:4" s="15" customFormat="1" ht="19.2" customHeight="1" x14ac:dyDescent="0.25">
      <c r="A4" s="8">
        <v>3</v>
      </c>
      <c r="B4" s="9" t="s">
        <v>4</v>
      </c>
      <c r="C4" s="10">
        <v>10</v>
      </c>
      <c r="D4" s="7" t="str">
        <f>INDEX(DS_GIAOVIEN!B:B,MATCH(B4,DS_GIAOVIEN!B:B,0),1)</f>
        <v>Phan Văn Kỳ</v>
      </c>
    </row>
    <row r="5" spans="1:4" s="15" customFormat="1" ht="19.2" customHeight="1" x14ac:dyDescent="0.25">
      <c r="A5" s="8">
        <v>4</v>
      </c>
      <c r="B5" s="9" t="s">
        <v>5</v>
      </c>
      <c r="C5" s="10">
        <v>28</v>
      </c>
      <c r="D5" s="7" t="str">
        <f>INDEX(DS_GIAOVIEN!B:B,MATCH(B5,DS_GIAOVIEN!B:B,0),1)</f>
        <v>Vũ Văn Quang</v>
      </c>
    </row>
    <row r="6" spans="1:4" s="15" customFormat="1" ht="19.2" customHeight="1" x14ac:dyDescent="0.25">
      <c r="A6" s="8">
        <v>5</v>
      </c>
      <c r="B6" s="9" t="s">
        <v>6</v>
      </c>
      <c r="C6" s="10">
        <v>16</v>
      </c>
      <c r="D6" s="7" t="str">
        <f>INDEX(DS_GIAOVIEN!B:B,MATCH(B6,DS_GIAOVIEN!B:B,0),1)</f>
        <v>Phạm Thúc Định</v>
      </c>
    </row>
    <row r="7" spans="1:4" s="15" customFormat="1" ht="19.2" customHeight="1" x14ac:dyDescent="0.25">
      <c r="A7" s="8">
        <v>6</v>
      </c>
      <c r="B7" s="9" t="s">
        <v>7</v>
      </c>
      <c r="C7" s="10">
        <v>22</v>
      </c>
      <c r="D7" s="7" t="str">
        <f>INDEX(DS_GIAOVIEN!B:B,MATCH(B7,DS_GIAOVIEN!B:B,0),1)</f>
        <v>Lê Ngọc Trung</v>
      </c>
    </row>
    <row r="8" spans="1:4" s="15" customFormat="1" ht="19.2" customHeight="1" x14ac:dyDescent="0.25">
      <c r="A8" s="8">
        <v>7</v>
      </c>
      <c r="B8" s="9" t="s">
        <v>8</v>
      </c>
      <c r="C8" s="10">
        <v>13.8</v>
      </c>
      <c r="D8" s="7" t="str">
        <f>INDEX(DS_GIAOVIEN!B:B,MATCH(B8,DS_GIAOVIEN!B:B,0),1)</f>
        <v>Lâm Đức Sơn</v>
      </c>
    </row>
    <row r="9" spans="1:4" s="15" customFormat="1" ht="19.2" customHeight="1" x14ac:dyDescent="0.25">
      <c r="A9" s="8">
        <v>8</v>
      </c>
      <c r="B9" s="9" t="s">
        <v>9</v>
      </c>
      <c r="C9" s="10">
        <v>16.399999999999999</v>
      </c>
      <c r="D9" s="7" t="str">
        <f>INDEX(DS_GIAOVIEN!B:B,MATCH(B9,DS_GIAOVIEN!B:B,0),1)</f>
        <v>Nguyễn Thị Ái Nhi</v>
      </c>
    </row>
    <row r="10" spans="1:4" s="15" customFormat="1" ht="19.2" customHeight="1" x14ac:dyDescent="0.25">
      <c r="A10" s="8">
        <v>9</v>
      </c>
      <c r="B10" s="9" t="s">
        <v>10</v>
      </c>
      <c r="C10" s="10">
        <v>13</v>
      </c>
      <c r="D10" s="7" t="str">
        <f>INDEX(DS_GIAOVIEN!B:B,MATCH(B10,DS_GIAOVIEN!B:B,0),1)</f>
        <v>Nguyễn Bá Hoàn</v>
      </c>
    </row>
    <row r="11" spans="1:4" s="15" customFormat="1" ht="19.2" customHeight="1" x14ac:dyDescent="0.25">
      <c r="A11" s="8">
        <v>10</v>
      </c>
      <c r="B11" s="9" t="s">
        <v>11</v>
      </c>
      <c r="C11" s="10">
        <v>12.1</v>
      </c>
      <c r="D11" s="7" t="str">
        <f>INDEX(DS_GIAOVIEN!B:B,MATCH(B11,DS_GIAOVIEN!B:B,0),1)</f>
        <v>Đặng Xuân Hạnh</v>
      </c>
    </row>
    <row r="12" spans="1:4" s="15" customFormat="1" ht="19.2" customHeight="1" x14ac:dyDescent="0.25">
      <c r="A12" s="8">
        <v>11</v>
      </c>
      <c r="B12" s="9" t="s">
        <v>12</v>
      </c>
      <c r="C12" s="10">
        <v>14.5</v>
      </c>
      <c r="D12" s="7" t="str">
        <f>INDEX(DS_GIAOVIEN!B:B,MATCH(B12,DS_GIAOVIEN!B:B,0),1)</f>
        <v>Trần Thanh Dũng</v>
      </c>
    </row>
    <row r="13" spans="1:4" s="15" customFormat="1" ht="19.2" customHeight="1" x14ac:dyDescent="0.25">
      <c r="A13" s="8">
        <v>12</v>
      </c>
      <c r="B13" s="9" t="s">
        <v>13</v>
      </c>
      <c r="C13" s="10">
        <v>29.1</v>
      </c>
      <c r="D13" s="7" t="str">
        <f>INDEX(DS_GIAOVIEN!B:B,MATCH(B13,DS_GIAOVIEN!B:B,0),1)</f>
        <v>Nguyễn Thị Thu Hà</v>
      </c>
    </row>
    <row r="14" spans="1:4" s="15" customFormat="1" ht="19.2" customHeight="1" x14ac:dyDescent="0.25">
      <c r="A14" s="8">
        <v>13</v>
      </c>
      <c r="B14" s="9" t="s">
        <v>14</v>
      </c>
      <c r="C14" s="10">
        <v>11.399999999999999</v>
      </c>
      <c r="D14" s="7" t="str">
        <f>INDEX(DS_GIAOVIEN!B:B,MATCH(B14,DS_GIAOVIEN!B:B,0),1)</f>
        <v>Phan Thị Hà</v>
      </c>
    </row>
    <row r="15" spans="1:4" s="15" customFormat="1" ht="19.2" customHeight="1" x14ac:dyDescent="0.25">
      <c r="A15" s="8">
        <v>14</v>
      </c>
      <c r="B15" s="9" t="s">
        <v>15</v>
      </c>
      <c r="C15" s="10">
        <v>10.3</v>
      </c>
      <c r="D15" s="7" t="str">
        <f>INDEX(DS_GIAOVIEN!B:B,MATCH(B15,DS_GIAOVIEN!B:B,0),1)</f>
        <v>Vũ Văn Minh</v>
      </c>
    </row>
    <row r="16" spans="1:4" s="15" customFormat="1" ht="19.2" customHeight="1" x14ac:dyDescent="0.25">
      <c r="A16" s="8">
        <v>15</v>
      </c>
      <c r="B16" s="9" t="s">
        <v>16</v>
      </c>
      <c r="C16" s="10">
        <v>10.3</v>
      </c>
      <c r="D16" s="7" t="str">
        <f>INDEX(DS_GIAOVIEN!B:B,MATCH(B16,DS_GIAOVIEN!B:B,0),1)</f>
        <v>Đỗ Tất Thiện</v>
      </c>
    </row>
    <row r="17" spans="1:4" s="15" customFormat="1" ht="19.2" customHeight="1" x14ac:dyDescent="0.25">
      <c r="A17" s="8">
        <v>16</v>
      </c>
      <c r="B17" s="9" t="s">
        <v>17</v>
      </c>
      <c r="C17" s="10">
        <v>32</v>
      </c>
      <c r="D17" s="7" t="str">
        <f>INDEX(DS_GIAOVIEN!B:B,MATCH(B17,DS_GIAOVIEN!B:B,0),1)</f>
        <v>Nguyễn Hữu Hoành</v>
      </c>
    </row>
    <row r="18" spans="1:4" s="15" customFormat="1" ht="19.2" customHeight="1" x14ac:dyDescent="0.25">
      <c r="A18" s="8">
        <v>17</v>
      </c>
      <c r="B18" s="9" t="s">
        <v>18</v>
      </c>
      <c r="C18" s="10">
        <v>32</v>
      </c>
      <c r="D18" s="7" t="str">
        <f>INDEX(DS_GIAOVIEN!B:B,MATCH(B18,DS_GIAOVIEN!B:B,0),1)</f>
        <v>Nguyễn Quốc Toàn</v>
      </c>
    </row>
    <row r="19" spans="1:4" s="15" customFormat="1" ht="19.2" customHeight="1" x14ac:dyDescent="0.25">
      <c r="A19" s="8">
        <v>18</v>
      </c>
      <c r="B19" s="9" t="s">
        <v>19</v>
      </c>
      <c r="C19" s="10">
        <v>18</v>
      </c>
      <c r="D19" s="7" t="str">
        <f>INDEX(DS_GIAOVIEN!B:B,MATCH(B19,DS_GIAOVIEN!B:B,0),1)</f>
        <v>Đào Xuân Quỳnh</v>
      </c>
    </row>
    <row r="20" spans="1:4" s="15" customFormat="1" ht="19.2" customHeight="1" x14ac:dyDescent="0.25">
      <c r="A20" s="8">
        <v>19</v>
      </c>
      <c r="B20" s="9" t="s">
        <v>20</v>
      </c>
      <c r="C20" s="10">
        <v>14</v>
      </c>
      <c r="D20" s="7" t="str">
        <f>INDEX(DS_GIAOVIEN!B:B,MATCH(B20,DS_GIAOVIEN!B:B,0),1)</f>
        <v>Trương Minh Trí</v>
      </c>
    </row>
    <row r="21" spans="1:4" s="15" customFormat="1" ht="19.2" customHeight="1" x14ac:dyDescent="0.25">
      <c r="A21" s="8">
        <v>20</v>
      </c>
      <c r="B21" s="9" t="s">
        <v>21</v>
      </c>
      <c r="C21" s="10">
        <v>13</v>
      </c>
      <c r="D21" s="7" t="str">
        <f>INDEX(DS_GIAOVIEN!B:B,MATCH(B21,DS_GIAOVIEN!B:B,0),1)</f>
        <v>Nguyễn Xuân Vỹ</v>
      </c>
    </row>
    <row r="22" spans="1:4" s="15" customFormat="1" ht="19.2" customHeight="1" x14ac:dyDescent="0.25">
      <c r="A22" s="8">
        <v>21</v>
      </c>
      <c r="B22" s="9" t="s">
        <v>22</v>
      </c>
      <c r="C22" s="10">
        <v>7.5</v>
      </c>
      <c r="D22" s="7" t="str">
        <f>INDEX(DS_GIAOVIEN!B:B,MATCH(B22,DS_GIAOVIEN!B:B,0),1)</f>
        <v>Hoàng Trung Kiên</v>
      </c>
    </row>
    <row r="23" spans="1:4" s="15" customFormat="1" ht="19.2" customHeight="1" x14ac:dyDescent="0.25">
      <c r="A23" s="8">
        <v>22</v>
      </c>
      <c r="B23" s="9" t="s">
        <v>23</v>
      </c>
      <c r="C23" s="10">
        <v>7.5</v>
      </c>
      <c r="D23" s="7" t="str">
        <f>INDEX(DS_GIAOVIEN!B:B,MATCH(B23,DS_GIAOVIEN!B:B,0),1)</f>
        <v>Nguyễn Như Trung</v>
      </c>
    </row>
    <row r="24" spans="1:4" s="15" customFormat="1" ht="19.2" customHeight="1" x14ac:dyDescent="0.25">
      <c r="A24" s="8">
        <v>23</v>
      </c>
      <c r="B24" s="9" t="s">
        <v>24</v>
      </c>
      <c r="C24" s="10">
        <v>18.5</v>
      </c>
      <c r="D24" s="7" t="str">
        <f>INDEX(DS_GIAOVIEN!B:B,MATCH(B24,DS_GIAOVIEN!B:B,0),1)</f>
        <v>Hoàng Thị Mền</v>
      </c>
    </row>
    <row r="25" spans="1:4" s="15" customFormat="1" ht="19.2" customHeight="1" x14ac:dyDescent="0.25">
      <c r="A25" s="8">
        <v>24</v>
      </c>
      <c r="B25" s="9" t="s">
        <v>25</v>
      </c>
      <c r="C25" s="10">
        <v>5.7</v>
      </c>
      <c r="D25" s="7" t="str">
        <f>INDEX(DS_GIAOVIEN!B:B,MATCH(B25,DS_GIAOVIEN!B:B,0),1)</f>
        <v>Đỗ Thị Quỳnh Anh</v>
      </c>
    </row>
    <row r="26" spans="1:4" s="15" customFormat="1" ht="19.2" customHeight="1" x14ac:dyDescent="0.25">
      <c r="A26" s="8">
        <v>25</v>
      </c>
      <c r="B26" s="9" t="s">
        <v>26</v>
      </c>
      <c r="C26" s="10">
        <v>2.7</v>
      </c>
      <c r="D26" s="7" t="str">
        <f>INDEX(DS_GIAOVIEN!B:B,MATCH(B26,DS_GIAOVIEN!B:B,0),1)</f>
        <v>Y Joen Niê Kdăm</v>
      </c>
    </row>
    <row r="27" spans="1:4" s="15" customFormat="1" ht="19.2" customHeight="1" x14ac:dyDescent="0.25">
      <c r="A27" s="8">
        <v>26</v>
      </c>
      <c r="B27" s="9" t="s">
        <v>27</v>
      </c>
      <c r="C27" s="10">
        <v>12</v>
      </c>
      <c r="D27" s="7" t="str">
        <f>INDEX(DS_GIAOVIEN!B:B,MATCH(B27,DS_GIAOVIEN!B:B,0),1)</f>
        <v>Lê Thị Hạnh Phúc</v>
      </c>
    </row>
    <row r="28" spans="1:4" s="15" customFormat="1" ht="19.2" customHeight="1" x14ac:dyDescent="0.25">
      <c r="A28" s="8">
        <v>27</v>
      </c>
      <c r="B28" s="9" t="s">
        <v>28</v>
      </c>
      <c r="C28" s="10">
        <v>6.3</v>
      </c>
      <c r="D28" s="7" t="str">
        <f>INDEX(DS_GIAOVIEN!B:B,MATCH(B28,DS_GIAOVIEN!B:B,0),1)</f>
        <v>Nguyễn Thị Hải Yến</v>
      </c>
    </row>
    <row r="29" spans="1:4" s="15" customFormat="1" ht="19.2" customHeight="1" x14ac:dyDescent="0.25">
      <c r="A29" s="8">
        <v>28</v>
      </c>
      <c r="B29" s="9" t="s">
        <v>29</v>
      </c>
      <c r="C29" s="10">
        <v>13.9</v>
      </c>
      <c r="D29" s="7" t="str">
        <f>INDEX(DS_GIAOVIEN!B:B,MATCH(B29,DS_GIAOVIEN!B:B,0),1)</f>
        <v>Ngô Thùy Hương</v>
      </c>
    </row>
    <row r="30" spans="1:4" s="15" customFormat="1" ht="19.2" customHeight="1" x14ac:dyDescent="0.25">
      <c r="A30" s="8">
        <v>29</v>
      </c>
      <c r="B30" s="9" t="s">
        <v>30</v>
      </c>
      <c r="C30" s="10">
        <v>14.4</v>
      </c>
      <c r="D30" s="7" t="str">
        <f>INDEX(DS_GIAOVIEN!B:B,MATCH(B30,DS_GIAOVIEN!B:B,0),1)</f>
        <v>Nguyễn Ngọc Châu</v>
      </c>
    </row>
    <row r="31" spans="1:4" s="15" customFormat="1" ht="19.2" customHeight="1" x14ac:dyDescent="0.25">
      <c r="A31" s="8">
        <v>30</v>
      </c>
      <c r="B31" s="9" t="s">
        <v>31</v>
      </c>
      <c r="C31" s="10">
        <v>2.7</v>
      </c>
      <c r="D31" s="7" t="str">
        <f>INDEX(DS_GIAOVIEN!B:B,MATCH(B31,DS_GIAOVIEN!B:B,0),1)</f>
        <v>Nguyễn Thị Hồng Phương</v>
      </c>
    </row>
    <row r="32" spans="1:4" s="15" customFormat="1" ht="19.2" customHeight="1" x14ac:dyDescent="0.25">
      <c r="A32" s="8">
        <v>31</v>
      </c>
      <c r="B32" s="9" t="s">
        <v>32</v>
      </c>
      <c r="C32" s="10">
        <v>2.7</v>
      </c>
      <c r="D32" s="7" t="str">
        <f>INDEX(DS_GIAOVIEN!B:B,MATCH(B32,DS_GIAOVIEN!B:B,0),1)</f>
        <v>Trần Ngọc Điệp</v>
      </c>
    </row>
    <row r="33" spans="1:4" s="15" customFormat="1" ht="19.2" customHeight="1" x14ac:dyDescent="0.25">
      <c r="A33" s="8">
        <v>32</v>
      </c>
      <c r="B33" s="9" t="s">
        <v>33</v>
      </c>
      <c r="C33" s="10">
        <v>31</v>
      </c>
      <c r="D33" s="7" t="str">
        <f>INDEX(DS_GIAOVIEN!B:B,MATCH(B33,DS_GIAOVIEN!B:B,0),1)</f>
        <v>Nguyễn Hữu Hiệp</v>
      </c>
    </row>
    <row r="34" spans="1:4" s="15" customFormat="1" ht="19.2" customHeight="1" x14ac:dyDescent="0.25">
      <c r="A34" s="8">
        <v>33</v>
      </c>
      <c r="B34" s="9" t="s">
        <v>34</v>
      </c>
      <c r="C34" s="10">
        <v>2.7</v>
      </c>
      <c r="D34" s="7" t="str">
        <f>INDEX(DS_GIAOVIEN!B:B,MATCH(B34,DS_GIAOVIEN!B:B,0),1)</f>
        <v>Nguyễn Bá Phi</v>
      </c>
    </row>
    <row r="35" spans="1:4" s="15" customFormat="1" ht="19.2" customHeight="1" x14ac:dyDescent="0.25">
      <c r="A35" s="8">
        <v>34</v>
      </c>
      <c r="B35" s="11" t="s">
        <v>35</v>
      </c>
      <c r="C35" s="12">
        <v>9.4</v>
      </c>
      <c r="D35" s="7" t="str">
        <f>INDEX(DS_GIAOVIEN!B:B,MATCH(B35,DS_GIAOVIEN!B:B,0),1)</f>
        <v>Phạm Quốc Lập</v>
      </c>
    </row>
    <row r="36" spans="1:4" s="15" customFormat="1" ht="19.2" customHeight="1" x14ac:dyDescent="0.25">
      <c r="A36" s="8">
        <v>35</v>
      </c>
      <c r="B36" s="11" t="s">
        <v>36</v>
      </c>
      <c r="C36" s="12">
        <v>19.100000000000001</v>
      </c>
      <c r="D36" s="7" t="str">
        <f>INDEX(DS_GIAOVIEN!B:B,MATCH(B36,DS_GIAOVIEN!B:B,0),1)</f>
        <v>Hồ Đức Nhân</v>
      </c>
    </row>
    <row r="37" spans="1:4" s="15" customFormat="1" ht="19.2" customHeight="1" x14ac:dyDescent="0.25">
      <c r="A37" s="8">
        <v>36</v>
      </c>
      <c r="B37" s="11" t="s">
        <v>37</v>
      </c>
      <c r="C37" s="12">
        <v>12</v>
      </c>
      <c r="D37" s="7" t="str">
        <f>INDEX(DS_GIAOVIEN!B:B,MATCH(B37,DS_GIAOVIEN!B:B,0),1)</f>
        <v>Đào Minh Thủy</v>
      </c>
    </row>
    <row r="38" spans="1:4" s="15" customFormat="1" ht="19.2" customHeight="1" x14ac:dyDescent="0.25">
      <c r="A38" s="8">
        <v>37</v>
      </c>
      <c r="B38" s="11" t="s">
        <v>38</v>
      </c>
      <c r="C38" s="12">
        <v>17.5</v>
      </c>
      <c r="D38" s="7" t="str">
        <f>INDEX(DS_GIAOVIEN!B:B,MATCH(B38,DS_GIAOVIEN!B:B,0),1)</f>
        <v>Hồ Văn Thông</v>
      </c>
    </row>
    <row r="39" spans="1:4" s="15" customFormat="1" ht="19.2" customHeight="1" x14ac:dyDescent="0.25">
      <c r="A39" s="8">
        <v>38</v>
      </c>
      <c r="B39" s="11" t="s">
        <v>39</v>
      </c>
      <c r="C39" s="12">
        <v>8</v>
      </c>
      <c r="D39" s="7" t="str">
        <f>INDEX(DS_GIAOVIEN!B:B,MATCH(B39,DS_GIAOVIEN!B:B,0),1)</f>
        <v>Trịnh Văn Thuyết</v>
      </c>
    </row>
    <row r="40" spans="1:4" s="15" customFormat="1" ht="19.2" customHeight="1" x14ac:dyDescent="0.25">
      <c r="A40" s="8">
        <v>39</v>
      </c>
      <c r="B40" s="11" t="s">
        <v>40</v>
      </c>
      <c r="C40" s="12">
        <v>8.5</v>
      </c>
      <c r="D40" s="7" t="str">
        <f>INDEX(DS_GIAOVIEN!B:B,MATCH(B40,DS_GIAOVIEN!B:B,0),1)</f>
        <v>Lê Thị Hạnh</v>
      </c>
    </row>
    <row r="41" spans="1:4" s="15" customFormat="1" ht="19.2" customHeight="1" x14ac:dyDescent="0.25">
      <c r="A41" s="8">
        <v>40</v>
      </c>
      <c r="B41" s="11" t="s">
        <v>41</v>
      </c>
      <c r="C41" s="12">
        <v>4</v>
      </c>
      <c r="D41" s="7" t="str">
        <f>INDEX(DS_GIAOVIEN!B:B,MATCH(B41,DS_GIAOVIEN!B:B,0),1)</f>
        <v>Chu Văn Cung</v>
      </c>
    </row>
    <row r="42" spans="1:4" s="15" customFormat="1" ht="19.2" customHeight="1" x14ac:dyDescent="0.25">
      <c r="A42" s="8">
        <v>41</v>
      </c>
      <c r="B42" s="11" t="s">
        <v>42</v>
      </c>
      <c r="C42" s="12">
        <v>8</v>
      </c>
      <c r="D42" s="7" t="str">
        <f>INDEX(DS_GIAOVIEN!B:B,MATCH(B42,DS_GIAOVIEN!B:B,0),1)</f>
        <v>Lê Thị Minh Thùy</v>
      </c>
    </row>
    <row r="43" spans="1:4" s="15" customFormat="1" ht="19.2" customHeight="1" x14ac:dyDescent="0.25">
      <c r="A43" s="8">
        <v>42</v>
      </c>
      <c r="B43" s="11" t="s">
        <v>43</v>
      </c>
      <c r="C43" s="12">
        <v>10</v>
      </c>
      <c r="D43" s="7" t="str">
        <f>INDEX(DS_GIAOVIEN!B:B,MATCH(B43,DS_GIAOVIEN!B:B,0),1)</f>
        <v>Trần Văn Nhàn</v>
      </c>
    </row>
    <row r="44" spans="1:4" s="15" customFormat="1" ht="19.2" customHeight="1" x14ac:dyDescent="0.25">
      <c r="A44" s="8">
        <v>43</v>
      </c>
      <c r="B44" s="11" t="s">
        <v>44</v>
      </c>
      <c r="C44" s="12">
        <v>13.7</v>
      </c>
      <c r="D44" s="7" t="str">
        <f>INDEX(DS_GIAOVIEN!B:B,MATCH(B44,DS_GIAOVIEN!B:B,0),1)</f>
        <v>Lê Văn Tùng</v>
      </c>
    </row>
    <row r="45" spans="1:4" s="15" customFormat="1" ht="19.2" customHeight="1" x14ac:dyDescent="0.25">
      <c r="A45" s="8">
        <v>44</v>
      </c>
      <c r="B45" s="11" t="s">
        <v>45</v>
      </c>
      <c r="C45" s="12">
        <v>22.5</v>
      </c>
      <c r="D45" s="7" t="str">
        <f>INDEX(DS_GIAOVIEN!B:B,MATCH(B45,DS_GIAOVIEN!B:B,0),1)</f>
        <v>Dương Thị Thúy Hoàng</v>
      </c>
    </row>
    <row r="46" spans="1:4" s="15" customFormat="1" ht="19.2" customHeight="1" x14ac:dyDescent="0.25">
      <c r="A46" s="8">
        <v>45</v>
      </c>
      <c r="B46" s="11" t="s">
        <v>46</v>
      </c>
      <c r="C46" s="12">
        <v>10</v>
      </c>
      <c r="D46" s="7" t="str">
        <f>INDEX(DS_GIAOVIEN!B:B,MATCH(B46,DS_GIAOVIEN!B:B,0),1)</f>
        <v>Nguyễn Như Kiên</v>
      </c>
    </row>
    <row r="47" spans="1:4" s="15" customFormat="1" ht="19.2" customHeight="1" x14ac:dyDescent="0.25">
      <c r="A47" s="8">
        <v>46</v>
      </c>
      <c r="B47" s="11" t="s">
        <v>47</v>
      </c>
      <c r="C47" s="12">
        <v>16.2</v>
      </c>
      <c r="D47" s="7" t="str">
        <f>INDEX(DS_GIAOVIEN!B:B,MATCH(B47,DS_GIAOVIEN!B:B,0),1)</f>
        <v>Nguyễn Võ Danh</v>
      </c>
    </row>
    <row r="48" spans="1:4" s="15" customFormat="1" ht="19.2" customHeight="1" x14ac:dyDescent="0.25">
      <c r="A48" s="8">
        <v>47</v>
      </c>
      <c r="B48" s="11" t="s">
        <v>48</v>
      </c>
      <c r="C48" s="12">
        <v>2.7</v>
      </c>
      <c r="D48" s="7" t="str">
        <f>INDEX(DS_GIAOVIEN!B:B,MATCH(B48,DS_GIAOVIEN!B:B,0),1)</f>
        <v>Nguyễn Khôi Nguyên</v>
      </c>
    </row>
    <row r="49" spans="1:4" s="15" customFormat="1" ht="19.2" customHeight="1" x14ac:dyDescent="0.25">
      <c r="A49" s="8">
        <v>48</v>
      </c>
      <c r="B49" s="11" t="s">
        <v>49</v>
      </c>
      <c r="C49" s="12">
        <v>6.9</v>
      </c>
      <c r="D49" s="7" t="str">
        <f>INDEX(DS_GIAOVIEN!B:B,MATCH(B49,DS_GIAOVIEN!B:B,0),1)</f>
        <v>Nguyễn Thanh Dinh</v>
      </c>
    </row>
    <row r="50" spans="1:4" s="15" customFormat="1" ht="19.2" customHeight="1" x14ac:dyDescent="0.25">
      <c r="A50" s="8">
        <v>49</v>
      </c>
      <c r="B50" s="11" t="s">
        <v>50</v>
      </c>
      <c r="C50" s="12">
        <v>2.7</v>
      </c>
      <c r="D50" s="7" t="str">
        <f>INDEX(DS_GIAOVIEN!B:B,MATCH(B50,DS_GIAOVIEN!B:B,0),1)</f>
        <v>Nguyễn Ngọc Khoa</v>
      </c>
    </row>
    <row r="51" spans="1:4" s="15" customFormat="1" ht="19.2" customHeight="1" x14ac:dyDescent="0.25">
      <c r="A51" s="8">
        <v>50</v>
      </c>
      <c r="B51" s="11" t="s">
        <v>51</v>
      </c>
      <c r="C51" s="12">
        <v>7.1</v>
      </c>
      <c r="D51" s="7" t="str">
        <f>INDEX(DS_GIAOVIEN!B:B,MATCH(B51,DS_GIAOVIEN!B:B,0),1)</f>
        <v>Nguyễn Viết Nông</v>
      </c>
    </row>
    <row r="52" spans="1:4" s="15" customFormat="1" ht="19.2" customHeight="1" x14ac:dyDescent="0.25">
      <c r="A52" s="8">
        <v>51</v>
      </c>
      <c r="B52" s="11" t="s">
        <v>52</v>
      </c>
      <c r="C52" s="12">
        <v>2.7</v>
      </c>
      <c r="D52" s="7" t="str">
        <f>INDEX(DS_GIAOVIEN!B:B,MATCH(B52,DS_GIAOVIEN!B:B,0),1)</f>
        <v>Phan Tấn Đạt</v>
      </c>
    </row>
    <row r="53" spans="1:4" s="15" customFormat="1" ht="19.2" customHeight="1" x14ac:dyDescent="0.25">
      <c r="A53" s="8">
        <v>52</v>
      </c>
      <c r="B53" s="11" t="s">
        <v>53</v>
      </c>
      <c r="C53" s="12">
        <v>2.7</v>
      </c>
      <c r="D53" s="7" t="str">
        <f>INDEX(DS_GIAOVIEN!B:B,MATCH(B53,DS_GIAOVIEN!B:B,0),1)</f>
        <v>Nguyễn Thị Hải</v>
      </c>
    </row>
    <row r="54" spans="1:4" s="15" customFormat="1" ht="19.2" customHeight="1" x14ac:dyDescent="0.25">
      <c r="A54" s="8">
        <v>53</v>
      </c>
      <c r="B54" s="11" t="s">
        <v>54</v>
      </c>
      <c r="C54" s="12">
        <v>2.7</v>
      </c>
      <c r="D54" s="7" t="str">
        <f>INDEX(DS_GIAOVIEN!B:B,MATCH(B54,DS_GIAOVIEN!B:B,0),1)</f>
        <v>La Văn Nam</v>
      </c>
    </row>
    <row r="55" spans="1:4" s="15" customFormat="1" ht="19.2" customHeight="1" x14ac:dyDescent="0.25">
      <c r="A55" s="8">
        <v>54</v>
      </c>
      <c r="B55" s="11" t="s">
        <v>55</v>
      </c>
      <c r="C55" s="12">
        <v>8.9</v>
      </c>
      <c r="D55" s="7" t="str">
        <f>INDEX(DS_GIAOVIEN!B:B,MATCH(B55,DS_GIAOVIEN!B:B,0),1)</f>
        <v>Nguyễn Văn Công</v>
      </c>
    </row>
    <row r="56" spans="1:4" s="15" customFormat="1" ht="19.2" customHeight="1" x14ac:dyDescent="0.25">
      <c r="A56" s="8">
        <v>55</v>
      </c>
      <c r="B56" s="11" t="s">
        <v>56</v>
      </c>
      <c r="C56" s="12">
        <v>2.7</v>
      </c>
      <c r="D56" s="7" t="str">
        <f>INDEX(DS_GIAOVIEN!B:B,MATCH(B56,DS_GIAOVIEN!B:B,0),1)</f>
        <v>Nguyễn Xuân Nguyên</v>
      </c>
    </row>
    <row r="57" spans="1:4" s="15" customFormat="1" ht="19.2" customHeight="1" x14ac:dyDescent="0.25">
      <c r="A57" s="8">
        <v>56</v>
      </c>
      <c r="B57" s="11" t="s">
        <v>57</v>
      </c>
      <c r="C57" s="12">
        <v>13.3</v>
      </c>
      <c r="D57" s="7" t="str">
        <f>INDEX(DS_GIAOVIEN!B:B,MATCH(B57,DS_GIAOVIEN!B:B,0),1)</f>
        <v>Nguyễn Văn Chính</v>
      </c>
    </row>
    <row r="58" spans="1:4" s="15" customFormat="1" ht="19.2" customHeight="1" x14ac:dyDescent="0.25">
      <c r="A58" s="8">
        <v>57</v>
      </c>
      <c r="B58" s="11" t="s">
        <v>58</v>
      </c>
      <c r="C58" s="12">
        <v>2.7</v>
      </c>
      <c r="D58" s="7" t="str">
        <f>INDEX(DS_GIAOVIEN!B:B,MATCH(B58,DS_GIAOVIEN!B:B,0),1)</f>
        <v>Phạm Xuân Vinh</v>
      </c>
    </row>
    <row r="59" spans="1:4" s="15" customFormat="1" ht="19.2" customHeight="1" x14ac:dyDescent="0.25">
      <c r="A59" s="8">
        <v>58</v>
      </c>
      <c r="B59" s="11" t="s">
        <v>59</v>
      </c>
      <c r="C59" s="12">
        <v>2.7</v>
      </c>
      <c r="D59" s="7" t="str">
        <f>INDEX(DS_GIAOVIEN!B:B,MATCH(B59,DS_GIAOVIEN!B:B,0),1)</f>
        <v>Nguyễn Văn Độ</v>
      </c>
    </row>
    <row r="60" spans="1:4" s="15" customFormat="1" ht="19.2" customHeight="1" x14ac:dyDescent="0.25">
      <c r="A60" s="8">
        <v>59</v>
      </c>
      <c r="B60" s="11" t="s">
        <v>60</v>
      </c>
      <c r="C60" s="12">
        <v>2.7</v>
      </c>
      <c r="D60" s="7" t="str">
        <f>INDEX(DS_GIAOVIEN!B:B,MATCH(B60,DS_GIAOVIEN!B:B,0),1)</f>
        <v>Đỗ Thị Kiều Vân</v>
      </c>
    </row>
    <row r="61" spans="1:4" s="15" customFormat="1" ht="19.2" customHeight="1" x14ac:dyDescent="0.25">
      <c r="A61" s="8">
        <v>60</v>
      </c>
      <c r="B61" s="11" t="s">
        <v>61</v>
      </c>
      <c r="C61" s="12">
        <v>2.7</v>
      </c>
      <c r="D61" s="7" t="str">
        <f>INDEX(DS_GIAOVIEN!B:B,MATCH(B61,DS_GIAOVIEN!B:B,0),1)</f>
        <v>Nguyễn Thị Miền</v>
      </c>
    </row>
    <row r="62" spans="1:4" s="15" customFormat="1" ht="19.2" customHeight="1" x14ac:dyDescent="0.25">
      <c r="A62" s="8">
        <v>61</v>
      </c>
      <c r="B62" s="11" t="s">
        <v>62</v>
      </c>
      <c r="C62" s="12">
        <v>6.7</v>
      </c>
      <c r="D62" s="7" t="str">
        <f>INDEX(DS_GIAOVIEN!B:B,MATCH(B62,DS_GIAOVIEN!B:B,0),1)</f>
        <v>Vũ Thị Lệ Thủy</v>
      </c>
    </row>
    <row r="63" spans="1:4" s="15" customFormat="1" ht="19.2" customHeight="1" x14ac:dyDescent="0.25">
      <c r="A63" s="8">
        <v>62</v>
      </c>
      <c r="B63" s="11" t="s">
        <v>63</v>
      </c>
      <c r="C63" s="12">
        <v>15.399999999999999</v>
      </c>
      <c r="D63" s="7" t="str">
        <f>INDEX(DS_GIAOVIEN!B:B,MATCH(B63,DS_GIAOVIEN!B:B,0),1)</f>
        <v>Bùi Thị Lý</v>
      </c>
    </row>
    <row r="64" spans="1:4" s="15" customFormat="1" ht="19.2" customHeight="1" x14ac:dyDescent="0.25">
      <c r="A64" s="8">
        <v>63</v>
      </c>
      <c r="B64" s="11" t="s">
        <v>64</v>
      </c>
      <c r="C64" s="12">
        <v>7.4</v>
      </c>
      <c r="D64" s="7" t="str">
        <f>INDEX(DS_GIAOVIEN!B:B,MATCH(B64,DS_GIAOVIEN!B:B,0),1)</f>
        <v>Vũ Đình Thi</v>
      </c>
    </row>
    <row r="65" spans="1:4" s="15" customFormat="1" ht="19.2" customHeight="1" x14ac:dyDescent="0.25">
      <c r="A65" s="8">
        <v>64</v>
      </c>
      <c r="B65" s="11" t="s">
        <v>65</v>
      </c>
      <c r="C65" s="12">
        <v>3.4</v>
      </c>
      <c r="D65" s="7" t="str">
        <f>INDEX(DS_GIAOVIEN!B:B,MATCH(B65,DS_GIAOVIEN!B:B,0),1)</f>
        <v>Võ Thị Cẩm Thơ</v>
      </c>
    </row>
    <row r="66" spans="1:4" s="15" customFormat="1" ht="19.2" customHeight="1" x14ac:dyDescent="0.25">
      <c r="A66" s="8">
        <v>65</v>
      </c>
      <c r="B66" s="11" t="s">
        <v>66</v>
      </c>
      <c r="C66" s="12">
        <v>3.4</v>
      </c>
      <c r="D66" s="7" t="str">
        <f>INDEX(DS_GIAOVIEN!B:B,MATCH(B66,DS_GIAOVIEN!B:B,0),1)</f>
        <v>Nguyễn Anh Duy</v>
      </c>
    </row>
    <row r="67" spans="1:4" s="15" customFormat="1" ht="19.2" customHeight="1" x14ac:dyDescent="0.25">
      <c r="A67" s="8">
        <v>66</v>
      </c>
      <c r="B67" s="11" t="s">
        <v>67</v>
      </c>
      <c r="C67" s="12">
        <v>18.100000000000001</v>
      </c>
      <c r="D67" s="7" t="str">
        <f>INDEX(DS_GIAOVIEN!B:B,MATCH(B67,DS_GIAOVIEN!B:B,0),1)</f>
        <v>Phạm Thị Thu Hạnh</v>
      </c>
    </row>
    <row r="68" spans="1:4" s="15" customFormat="1" ht="19.2" customHeight="1" x14ac:dyDescent="0.25">
      <c r="A68" s="8">
        <v>67</v>
      </c>
      <c r="B68" s="11" t="s">
        <v>68</v>
      </c>
      <c r="C68" s="12">
        <v>8.6</v>
      </c>
      <c r="D68" s="7" t="str">
        <f>INDEX(DS_GIAOVIEN!B:B,MATCH(B68,DS_GIAOVIEN!B:B,0),1)</f>
        <v>Trần Văn Tường</v>
      </c>
    </row>
    <row r="69" spans="1:4" s="15" customFormat="1" ht="19.2" customHeight="1" x14ac:dyDescent="0.25">
      <c r="A69" s="8">
        <v>68</v>
      </c>
      <c r="B69" s="11" t="s">
        <v>69</v>
      </c>
      <c r="C69" s="12">
        <v>8.6</v>
      </c>
      <c r="D69" s="7" t="str">
        <f>INDEX(DS_GIAOVIEN!B:B,MATCH(B69,DS_GIAOVIEN!B:B,0),1)</f>
        <v>Ngô Xuân Thành</v>
      </c>
    </row>
    <row r="70" spans="1:4" s="15" customFormat="1" ht="19.2" customHeight="1" x14ac:dyDescent="0.25">
      <c r="A70" s="8">
        <v>69</v>
      </c>
      <c r="B70" s="11" t="s">
        <v>70</v>
      </c>
      <c r="C70" s="12">
        <v>27.3</v>
      </c>
      <c r="D70" s="7" t="str">
        <f>INDEX(DS_GIAOVIEN!B:B,MATCH(B70,DS_GIAOVIEN!B:B,0),1)</f>
        <v>Trần Lâm Sơn</v>
      </c>
    </row>
    <row r="71" spans="1:4" s="15" customFormat="1" ht="19.2" customHeight="1" x14ac:dyDescent="0.25">
      <c r="A71" s="8">
        <v>70</v>
      </c>
      <c r="B71" s="11" t="s">
        <v>71</v>
      </c>
      <c r="C71" s="12">
        <v>9.5</v>
      </c>
      <c r="D71" s="7" t="str">
        <f>INDEX(DS_GIAOVIEN!B:B,MATCH(B71,DS_GIAOVIEN!B:B,0),1)</f>
        <v>Dương Hồng Phước</v>
      </c>
    </row>
    <row r="72" spans="1:4" s="15" customFormat="1" ht="19.2" customHeight="1" x14ac:dyDescent="0.25">
      <c r="A72" s="8">
        <v>71</v>
      </c>
      <c r="B72" s="11" t="s">
        <v>72</v>
      </c>
      <c r="C72" s="12">
        <v>4</v>
      </c>
      <c r="D72" s="7" t="str">
        <f>INDEX(DS_GIAOVIEN!B:B,MATCH(B72,DS_GIAOVIEN!B:B,0),1)</f>
        <v>Trần Ngọc Thanh</v>
      </c>
    </row>
    <row r="73" spans="1:4" s="15" customFormat="1" ht="19.2" customHeight="1" x14ac:dyDescent="0.25">
      <c r="A73" s="8">
        <v>72</v>
      </c>
      <c r="B73" s="11" t="s">
        <v>73</v>
      </c>
      <c r="C73" s="12">
        <v>20</v>
      </c>
      <c r="D73" s="7" t="str">
        <f>INDEX(DS_GIAOVIEN!B:B,MATCH(B73,DS_GIAOVIEN!B:B,0),1)</f>
        <v>Y Louit Niê</v>
      </c>
    </row>
    <row r="74" spans="1:4" s="15" customFormat="1" ht="19.2" customHeight="1" x14ac:dyDescent="0.25">
      <c r="A74" s="8">
        <v>73</v>
      </c>
      <c r="B74" s="11" t="s">
        <v>74</v>
      </c>
      <c r="C74" s="12">
        <v>6</v>
      </c>
      <c r="D74" s="7" t="str">
        <f>INDEX(DS_GIAOVIEN!B:B,MATCH(B74,DS_GIAOVIEN!B:B,0),1)</f>
        <v>Nguyễn Anh Vinh</v>
      </c>
    </row>
    <row r="75" spans="1:4" s="15" customFormat="1" ht="19.2" customHeight="1" x14ac:dyDescent="0.25">
      <c r="A75" s="8">
        <v>74</v>
      </c>
      <c r="B75" s="11" t="s">
        <v>75</v>
      </c>
      <c r="C75" s="12">
        <v>6</v>
      </c>
      <c r="D75" s="7" t="str">
        <f>INDEX(DS_GIAOVIEN!B:B,MATCH(B75,DS_GIAOVIEN!B:B,0),1)</f>
        <v>Dương Duy Hậu</v>
      </c>
    </row>
    <row r="76" spans="1:4" s="15" customFormat="1" ht="19.2" customHeight="1" x14ac:dyDescent="0.25">
      <c r="A76" s="8">
        <v>75</v>
      </c>
      <c r="B76" s="11" t="s">
        <v>76</v>
      </c>
      <c r="C76" s="12">
        <v>6</v>
      </c>
      <c r="D76" s="7" t="str">
        <f>INDEX(DS_GIAOVIEN!B:B,MATCH(B76,DS_GIAOVIEN!B:B,0),1)</f>
        <v>Cao Hữu Hải</v>
      </c>
    </row>
    <row r="77" spans="1:4" s="15" customFormat="1" ht="19.2" customHeight="1" x14ac:dyDescent="0.25">
      <c r="A77" s="8">
        <v>76</v>
      </c>
      <c r="B77" s="11" t="s">
        <v>77</v>
      </c>
      <c r="C77" s="12">
        <v>6</v>
      </c>
      <c r="D77" s="7" t="str">
        <f>INDEX(DS_GIAOVIEN!B:B,MATCH(B77,DS_GIAOVIEN!B:B,0),1)</f>
        <v>Lê Ngọc An</v>
      </c>
    </row>
    <row r="78" spans="1:4" s="15" customFormat="1" ht="19.2" customHeight="1" x14ac:dyDescent="0.25">
      <c r="A78" s="8">
        <v>77</v>
      </c>
      <c r="B78" s="11" t="s">
        <v>78</v>
      </c>
      <c r="C78" s="12">
        <v>11.2</v>
      </c>
      <c r="D78" s="7" t="str">
        <f>INDEX(DS_GIAOVIEN!B:B,MATCH(B78,DS_GIAOVIEN!B:B,0),1)</f>
        <v>Y Khoa Niê Kdăm</v>
      </c>
    </row>
    <row r="79" spans="1:4" s="15" customFormat="1" ht="19.2" customHeight="1" x14ac:dyDescent="0.25">
      <c r="A79" s="8">
        <v>78</v>
      </c>
      <c r="B79" s="11" t="s">
        <v>79</v>
      </c>
      <c r="C79" s="12">
        <v>14</v>
      </c>
      <c r="D79" s="7" t="str">
        <f>INDEX(DS_GIAOVIEN!B:B,MATCH(B79,DS_GIAOVIEN!B:B,0),1)</f>
        <v>Trương Văn Giản</v>
      </c>
    </row>
    <row r="80" spans="1:4" s="15" customFormat="1" ht="19.2" customHeight="1" x14ac:dyDescent="0.25">
      <c r="A80" s="8">
        <v>79</v>
      </c>
      <c r="B80" s="11" t="s">
        <v>80</v>
      </c>
      <c r="C80" s="12">
        <v>14</v>
      </c>
      <c r="D80" s="7" t="str">
        <f>INDEX(DS_GIAOVIEN!B:B,MATCH(B80,DS_GIAOVIEN!B:B,0),1)</f>
        <v>Huỳnh Ngọc Đồng</v>
      </c>
    </row>
    <row r="81" spans="1:4" s="15" customFormat="1" ht="19.2" customHeight="1" x14ac:dyDescent="0.25">
      <c r="A81" s="8">
        <v>80</v>
      </c>
      <c r="B81" s="11" t="s">
        <v>81</v>
      </c>
      <c r="C81" s="12">
        <v>7</v>
      </c>
      <c r="D81" s="7" t="str">
        <f>INDEX(DS_GIAOVIEN!B:B,MATCH(B81,DS_GIAOVIEN!B:B,0),1)</f>
        <v>Ngô Phạm Hồng Phước</v>
      </c>
    </row>
    <row r="82" spans="1:4" s="15" customFormat="1" ht="19.2" customHeight="1" x14ac:dyDescent="0.25">
      <c r="A82" s="8">
        <v>81</v>
      </c>
      <c r="B82" s="11" t="s">
        <v>82</v>
      </c>
      <c r="C82" s="12">
        <v>7</v>
      </c>
      <c r="D82" s="7" t="str">
        <f>INDEX(DS_GIAOVIEN!B:B,MATCH(B82,DS_GIAOVIEN!B:B,0),1)</f>
        <v>Huỳnh Ngọc Tùng</v>
      </c>
    </row>
    <row r="83" spans="1:4" s="15" customFormat="1" ht="19.2" customHeight="1" x14ac:dyDescent="0.25">
      <c r="A83" s="8">
        <v>82</v>
      </c>
      <c r="B83" s="11" t="s">
        <v>83</v>
      </c>
      <c r="C83" s="12">
        <v>7</v>
      </c>
      <c r="D83" s="7" t="str">
        <f>INDEX(DS_GIAOVIEN!B:B,MATCH(B83,DS_GIAOVIEN!B:B,0),1)</f>
        <v>Nguyễn Hùng Anh</v>
      </c>
    </row>
    <row r="84" spans="1:4" s="15" customFormat="1" ht="19.2" customHeight="1" x14ac:dyDescent="0.25">
      <c r="A84" s="8">
        <v>83</v>
      </c>
      <c r="B84" s="11" t="s">
        <v>84</v>
      </c>
      <c r="C84" s="12">
        <v>7</v>
      </c>
      <c r="D84" s="7" t="str">
        <f>INDEX(DS_GIAOVIEN!B:B,MATCH(B84,DS_GIAOVIEN!B:B,0),1)</f>
        <v>Trần Văn Dũng</v>
      </c>
    </row>
    <row r="85" spans="1:4" s="15" customFormat="1" ht="19.2" customHeight="1" x14ac:dyDescent="0.25">
      <c r="A85" s="8">
        <v>84</v>
      </c>
      <c r="B85" s="11" t="s">
        <v>85</v>
      </c>
      <c r="C85" s="12">
        <v>7</v>
      </c>
      <c r="D85" s="7" t="str">
        <f>INDEX(DS_GIAOVIEN!B:B,MATCH(B85,DS_GIAOVIEN!B:B,0),1)</f>
        <v>Trần Thanh Dương</v>
      </c>
    </row>
    <row r="86" spans="1:4" s="15" customFormat="1" ht="19.2" customHeight="1" x14ac:dyDescent="0.25">
      <c r="A86" s="8">
        <v>85</v>
      </c>
      <c r="B86" s="11" t="s">
        <v>86</v>
      </c>
      <c r="C86" s="12">
        <v>7</v>
      </c>
      <c r="D86" s="7" t="str">
        <f>INDEX(DS_GIAOVIEN!B:B,MATCH(B86,DS_GIAOVIEN!B:B,0),1)</f>
        <v>Bùi Văn Bảy</v>
      </c>
    </row>
    <row r="87" spans="1:4" s="15" customFormat="1" ht="19.2" customHeight="1" x14ac:dyDescent="0.25">
      <c r="A87" s="8">
        <v>86</v>
      </c>
      <c r="B87" s="11" t="s">
        <v>87</v>
      </c>
      <c r="C87" s="12">
        <v>8.4</v>
      </c>
      <c r="D87" s="7" t="str">
        <f>INDEX(DS_GIAOVIEN!B:B,MATCH(B87,DS_GIAOVIEN!B:B,0),1)</f>
        <v>Nguyễn Thị Thu Dung</v>
      </c>
    </row>
    <row r="88" spans="1:4" s="15" customFormat="1" ht="19.2" customHeight="1" x14ac:dyDescent="0.25">
      <c r="A88" s="8">
        <v>87</v>
      </c>
      <c r="B88" s="11" t="s">
        <v>88</v>
      </c>
      <c r="C88" s="12">
        <v>4.2</v>
      </c>
      <c r="D88" s="7" t="str">
        <f>INDEX(DS_GIAOVIEN!B:B,MATCH(B88,DS_GIAOVIEN!B:B,0),1)</f>
        <v>Nguyễn Thị Thu Thủy</v>
      </c>
    </row>
    <row r="89" spans="1:4" s="15" customFormat="1" ht="19.2" customHeight="1" x14ac:dyDescent="0.25">
      <c r="A89" s="8">
        <v>88</v>
      </c>
      <c r="B89" s="11" t="s">
        <v>89</v>
      </c>
      <c r="C89" s="12">
        <v>7.7</v>
      </c>
      <c r="D89" s="7" t="str">
        <f>INDEX(DS_GIAOVIEN!B:B,MATCH(B89,DS_GIAOVIEN!B:B,0),1)</f>
        <v>Ngô Thị Mỹ Hạnh</v>
      </c>
    </row>
    <row r="90" spans="1:4" s="15" customFormat="1" ht="19.2" customHeight="1" x14ac:dyDescent="0.25">
      <c r="A90" s="8">
        <v>89</v>
      </c>
      <c r="B90" s="11" t="s">
        <v>90</v>
      </c>
      <c r="C90" s="12">
        <v>4</v>
      </c>
      <c r="D90" s="7" t="str">
        <f>INDEX(DS_GIAOVIEN!B:B,MATCH(B90,DS_GIAOVIEN!B:B,0),1)</f>
        <v>Cao Nữ Việt Anh</v>
      </c>
    </row>
    <row r="91" spans="1:4" s="15" customFormat="1" ht="19.2" customHeight="1" x14ac:dyDescent="0.25">
      <c r="A91" s="8">
        <v>90</v>
      </c>
      <c r="B91" s="11" t="s">
        <v>91</v>
      </c>
      <c r="C91" s="12">
        <v>8.6999999999999993</v>
      </c>
      <c r="D91" s="7" t="str">
        <f>INDEX(DS_GIAOVIEN!B:B,MATCH(B91,DS_GIAOVIEN!B:B,0),1)</f>
        <v>Phạm Thị Thúy Vân</v>
      </c>
    </row>
    <row r="92" spans="1:4" s="15" customFormat="1" ht="19.2" customHeight="1" x14ac:dyDescent="0.25">
      <c r="A92" s="8">
        <v>91</v>
      </c>
      <c r="B92" s="11" t="s">
        <v>92</v>
      </c>
      <c r="C92" s="12">
        <v>8.6999999999999993</v>
      </c>
      <c r="D92" s="7" t="str">
        <f>INDEX(DS_GIAOVIEN!B:B,MATCH(B92,DS_GIAOVIEN!B:B,0),1)</f>
        <v>Trần Thị Bích Thùy</v>
      </c>
    </row>
    <row r="93" spans="1:4" s="15" customFormat="1" ht="19.2" customHeight="1" x14ac:dyDescent="0.25">
      <c r="A93" s="8">
        <v>92</v>
      </c>
      <c r="B93" s="9" t="s">
        <v>93</v>
      </c>
      <c r="C93" s="10">
        <v>1.8</v>
      </c>
      <c r="D93" s="7" t="str">
        <f>INDEX(DS_GIAOVIEN!B:B,MATCH(B93,DS_GIAOVIEN!B:B,0),1)</f>
        <v>Hán Văn Trung</v>
      </c>
    </row>
    <row r="94" spans="1:4" s="15" customFormat="1" ht="19.2" customHeight="1" x14ac:dyDescent="0.25">
      <c r="A94" s="8">
        <v>93</v>
      </c>
      <c r="B94" s="9" t="s">
        <v>94</v>
      </c>
      <c r="C94" s="10">
        <v>9.5</v>
      </c>
      <c r="D94" s="7" t="str">
        <f>INDEX(DS_GIAOVIEN!B:B,MATCH(B94,DS_GIAOVIEN!B:B,0),1)</f>
        <v>Nguyễn Thị Mộng Linh</v>
      </c>
    </row>
    <row r="95" spans="1:4" s="15" customFormat="1" ht="19.2" customHeight="1" x14ac:dyDescent="0.25">
      <c r="A95" s="8">
        <v>94</v>
      </c>
      <c r="B95" s="9" t="s">
        <v>95</v>
      </c>
      <c r="C95" s="10">
        <v>9.6</v>
      </c>
      <c r="D95" s="7" t="str">
        <f>INDEX(DS_GIAOVIEN!B:B,MATCH(B95,DS_GIAOVIEN!B:B,0),1)</f>
        <v>Nguyễn Thị Hương Thảo</v>
      </c>
    </row>
    <row r="96" spans="1:4" s="15" customFormat="1" ht="19.2" customHeight="1" x14ac:dyDescent="0.25">
      <c r="A96" s="8">
        <v>95</v>
      </c>
      <c r="B96" s="9" t="s">
        <v>96</v>
      </c>
      <c r="C96" s="10">
        <v>14.5</v>
      </c>
      <c r="D96" s="7" t="str">
        <f>INDEX(DS_GIAOVIEN!B:B,MATCH(B96,DS_GIAOVIEN!B:B,0),1)</f>
        <v>Nguyễn Trần Hồng Quân</v>
      </c>
    </row>
    <row r="97" spans="1:4" s="15" customFormat="1" ht="19.2" customHeight="1" x14ac:dyDescent="0.25">
      <c r="A97" s="8">
        <v>96</v>
      </c>
      <c r="B97" s="9" t="s">
        <v>97</v>
      </c>
      <c r="C97" s="10">
        <v>14.5</v>
      </c>
      <c r="D97" s="7" t="str">
        <f>INDEX(DS_GIAOVIEN!B:B,MATCH(B97,DS_GIAOVIEN!B:B,0),1)</f>
        <v>Nguyễn Thị Giang</v>
      </c>
    </row>
    <row r="98" spans="1:4" s="15" customFormat="1" ht="19.2" customHeight="1" x14ac:dyDescent="0.25">
      <c r="A98" s="8">
        <v>97</v>
      </c>
      <c r="B98" s="9" t="s">
        <v>98</v>
      </c>
      <c r="C98" s="10">
        <v>18.5</v>
      </c>
      <c r="D98" s="7" t="str">
        <f>INDEX(DS_GIAOVIEN!B:B,MATCH(B98,DS_GIAOVIEN!B:B,0),1)</f>
        <v>Trần Anh Tuấn</v>
      </c>
    </row>
    <row r="99" spans="1:4" s="15" customFormat="1" ht="19.2" customHeight="1" x14ac:dyDescent="0.25">
      <c r="A99" s="8">
        <v>98</v>
      </c>
      <c r="B99" s="9" t="s">
        <v>99</v>
      </c>
      <c r="C99" s="10">
        <v>13.8</v>
      </c>
      <c r="D99" s="7" t="str">
        <f>INDEX(DS_GIAOVIEN!B:B,MATCH(B99,DS_GIAOVIEN!B:B,0),1)</f>
        <v>Phạm Văn Nguyên</v>
      </c>
    </row>
    <row r="100" spans="1:4" s="15" customFormat="1" ht="19.2" customHeight="1" x14ac:dyDescent="0.25">
      <c r="A100" s="8">
        <v>99</v>
      </c>
      <c r="B100" s="9" t="s">
        <v>100</v>
      </c>
      <c r="C100" s="10">
        <v>17.8</v>
      </c>
      <c r="D100" s="7" t="str">
        <f>INDEX(DS_GIAOVIEN!B:B,MATCH(B100,DS_GIAOVIEN!B:B,0),1)</f>
        <v>Trần Ngọc Sơn Hùng</v>
      </c>
    </row>
    <row r="101" spans="1:4" s="15" customFormat="1" ht="19.2" customHeight="1" x14ac:dyDescent="0.25">
      <c r="A101" s="8">
        <v>100</v>
      </c>
      <c r="B101" s="9" t="s">
        <v>101</v>
      </c>
      <c r="C101" s="10">
        <v>11.8</v>
      </c>
      <c r="D101" s="7" t="str">
        <f>INDEX(DS_GIAOVIEN!B:B,MATCH(B101,DS_GIAOVIEN!B:B,0),1)</f>
        <v>Cao Xuân Cường</v>
      </c>
    </row>
    <row r="102" spans="1:4" s="15" customFormat="1" ht="19.2" customHeight="1" x14ac:dyDescent="0.25">
      <c r="A102" s="8">
        <v>101</v>
      </c>
      <c r="B102" s="9" t="s">
        <v>102</v>
      </c>
      <c r="C102" s="10">
        <v>6</v>
      </c>
      <c r="D102" s="7" t="str">
        <f>INDEX(DS_GIAOVIEN!B:B,MATCH(B102,DS_GIAOVIEN!B:B,0),1)</f>
        <v>Đặng Văn Dung</v>
      </c>
    </row>
    <row r="103" spans="1:4" s="15" customFormat="1" ht="19.2" customHeight="1" x14ac:dyDescent="0.25">
      <c r="A103" s="8">
        <v>102</v>
      </c>
      <c r="B103" s="13" t="s">
        <v>103</v>
      </c>
      <c r="C103" s="14">
        <v>10</v>
      </c>
      <c r="D103" s="7" t="str">
        <f>INDEX(DS_GIAOVIEN!B:B,MATCH(B103,DS_GIAOVIEN!B:B,0),1)</f>
        <v>Nguyễn Trung Kiên</v>
      </c>
    </row>
    <row r="104" spans="1:4" s="15" customFormat="1" ht="19.2" customHeight="1" x14ac:dyDescent="0.25">
      <c r="A104" s="8">
        <v>103</v>
      </c>
      <c r="B104" s="11" t="s">
        <v>104</v>
      </c>
      <c r="C104" s="12">
        <v>6.5</v>
      </c>
      <c r="D104" s="7" t="str">
        <f>INDEX(DS_GIAOVIEN!B:B,MATCH(B104,DS_GIAOVIEN!B:B,0),1)</f>
        <v>Lê Khánh Toàn</v>
      </c>
    </row>
    <row r="105" spans="1:4" s="15" customFormat="1" ht="19.2" customHeight="1" x14ac:dyDescent="0.25">
      <c r="A105" s="8">
        <v>104</v>
      </c>
      <c r="B105" s="11" t="s">
        <v>105</v>
      </c>
      <c r="C105" s="12">
        <v>18.3</v>
      </c>
      <c r="D105" s="7" t="str">
        <f>INDEX(DS_GIAOVIEN!B:B,MATCH(B105,DS_GIAOVIEN!B:B,0),1)</f>
        <v>Trịnh Thị Thảo Quyên</v>
      </c>
    </row>
    <row r="106" spans="1:4" s="15" customFormat="1" ht="19.2" customHeight="1" x14ac:dyDescent="0.25">
      <c r="A106" s="8">
        <v>105</v>
      </c>
      <c r="B106" s="11" t="s">
        <v>106</v>
      </c>
      <c r="C106" s="12">
        <v>14.3</v>
      </c>
      <c r="D106" s="7" t="str">
        <f>INDEX(DS_GIAOVIEN!B:B,MATCH(B106,DS_GIAOVIEN!B:B,0),1)</f>
        <v>H Chel H' Mok</v>
      </c>
    </row>
    <row r="107" spans="1:4" s="15" customFormat="1" ht="19.2" customHeight="1" x14ac:dyDescent="0.25">
      <c r="A107" s="8">
        <v>106</v>
      </c>
      <c r="B107" s="11" t="s">
        <v>107</v>
      </c>
      <c r="C107" s="12">
        <v>20.3</v>
      </c>
      <c r="D107" s="7" t="str">
        <f>INDEX(DS_GIAOVIEN!B:B,MATCH(B107,DS_GIAOVIEN!B:B,0),1)</f>
        <v>Nguyễn Thị Lạc Việt</v>
      </c>
    </row>
    <row r="108" spans="1:4" s="15" customFormat="1" ht="19.2" customHeight="1" x14ac:dyDescent="0.25">
      <c r="A108" s="8">
        <v>107</v>
      </c>
      <c r="B108" s="11" t="s">
        <v>108</v>
      </c>
      <c r="C108" s="12">
        <v>24.9</v>
      </c>
      <c r="D108" s="7" t="str">
        <f>INDEX(DS_GIAOVIEN!B:B,MATCH(B108,DS_GIAOVIEN!B:B,0),1)</f>
        <v>Thân Thị Chung</v>
      </c>
    </row>
    <row r="109" spans="1:4" s="15" customFormat="1" ht="19.2" customHeight="1" x14ac:dyDescent="0.25">
      <c r="A109" s="8">
        <v>108</v>
      </c>
      <c r="B109" s="11" t="s">
        <v>109</v>
      </c>
      <c r="C109" s="12">
        <v>21.3</v>
      </c>
      <c r="D109" s="7" t="str">
        <f>INDEX(DS_GIAOVIEN!B:B,MATCH(B109,DS_GIAOVIEN!B:B,0),1)</f>
        <v>Phạm Tiến Thành</v>
      </c>
    </row>
    <row r="110" spans="1:4" s="15" customFormat="1" ht="19.2" customHeight="1" x14ac:dyDescent="0.25">
      <c r="A110" s="8">
        <v>109</v>
      </c>
      <c r="B110" s="11" t="s">
        <v>110</v>
      </c>
      <c r="C110" s="12">
        <v>21.4</v>
      </c>
      <c r="D110" s="7" t="str">
        <f>INDEX(DS_GIAOVIEN!B:B,MATCH(B110,DS_GIAOVIEN!B:B,0),1)</f>
        <v>Trần Thị Thu Thúy</v>
      </c>
    </row>
    <row r="111" spans="1:4" s="15" customFormat="1" ht="19.2" customHeight="1" x14ac:dyDescent="0.25">
      <c r="A111" s="8">
        <v>110</v>
      </c>
      <c r="B111" s="11" t="s">
        <v>111</v>
      </c>
      <c r="C111" s="12">
        <v>19.100000000000001</v>
      </c>
      <c r="D111" s="7" t="str">
        <f>INDEX(DS_GIAOVIEN!B:B,MATCH(B111,DS_GIAOVIEN!B:B,0),1)</f>
        <v>Vũ Thị Hoài Thanh</v>
      </c>
    </row>
    <row r="112" spans="1:4" s="15" customFormat="1" ht="19.2" customHeight="1" x14ac:dyDescent="0.25">
      <c r="A112" s="8">
        <v>111</v>
      </c>
      <c r="B112" s="11" t="s">
        <v>112</v>
      </c>
      <c r="C112" s="12">
        <v>4.3</v>
      </c>
      <c r="D112" s="7" t="str">
        <f>INDEX(DS_GIAOVIEN!B:B,MATCH(B112,DS_GIAOVIEN!B:B,0),1)</f>
        <v>Phan Thị Loan</v>
      </c>
    </row>
    <row r="113" spans="1:4" s="15" customFormat="1" ht="19.2" customHeight="1" x14ac:dyDescent="0.25">
      <c r="A113" s="8">
        <v>112</v>
      </c>
      <c r="B113" s="11" t="s">
        <v>113</v>
      </c>
      <c r="C113" s="12">
        <v>8.3000000000000007</v>
      </c>
      <c r="D113" s="7" t="str">
        <f>INDEX(DS_GIAOVIEN!B:B,MATCH(B113,DS_GIAOVIEN!B:B,0),1)</f>
        <v>Trịnh Thị Mỹ Hạnh</v>
      </c>
    </row>
    <row r="114" spans="1:4" s="15" customFormat="1" ht="19.2" customHeight="1" x14ac:dyDescent="0.25">
      <c r="A114" s="8">
        <v>113</v>
      </c>
      <c r="B114" s="11" t="s">
        <v>114</v>
      </c>
      <c r="C114" s="12">
        <v>12.8</v>
      </c>
      <c r="D114" s="7" t="str">
        <f>INDEX(DS_GIAOVIEN!B:B,MATCH(B114,DS_GIAOVIEN!B:B,0),1)</f>
        <v>Y Tho Byă</v>
      </c>
    </row>
    <row r="115" spans="1:4" s="15" customFormat="1" ht="19.2" customHeight="1" x14ac:dyDescent="0.25">
      <c r="A115" s="8">
        <v>114</v>
      </c>
      <c r="B115" s="11" t="s">
        <v>115</v>
      </c>
      <c r="C115" s="12">
        <v>21.4</v>
      </c>
      <c r="D115" s="7" t="str">
        <f>INDEX(DS_GIAOVIEN!B:B,MATCH(B115,DS_GIAOVIEN!B:B,0),1)</f>
        <v>Nguyễn Văn Thành</v>
      </c>
    </row>
    <row r="116" spans="1:4" s="15" customFormat="1" ht="19.2" customHeight="1" x14ac:dyDescent="0.25">
      <c r="A116" s="8">
        <v>115</v>
      </c>
      <c r="B116" s="11" t="s">
        <v>116</v>
      </c>
      <c r="C116" s="12">
        <v>4</v>
      </c>
      <c r="D116" s="7" t="str">
        <f>INDEX(DS_GIAOVIEN!B:B,MATCH(B116,DS_GIAOVIEN!B:B,0),1)</f>
        <v>Nguyễn Thị Phương</v>
      </c>
    </row>
    <row r="117" spans="1:4" s="15" customFormat="1" ht="19.2" customHeight="1" x14ac:dyDescent="0.25">
      <c r="A117" s="8">
        <v>116</v>
      </c>
      <c r="B117" s="11" t="s">
        <v>117</v>
      </c>
      <c r="C117" s="12">
        <v>5.5</v>
      </c>
      <c r="D117" s="7" t="str">
        <f>INDEX(DS_GIAOVIEN!B:B,MATCH(B117,DS_GIAOVIEN!B:B,0),1)</f>
        <v>Phạm Văn Quang</v>
      </c>
    </row>
    <row r="118" spans="1:4" s="15" customFormat="1" ht="19.2" customHeight="1" x14ac:dyDescent="0.25">
      <c r="A118" s="8">
        <v>117</v>
      </c>
      <c r="B118" s="11" t="s">
        <v>118</v>
      </c>
      <c r="C118" s="12">
        <v>2.2999999999999998</v>
      </c>
      <c r="D118" s="7" t="str">
        <f>INDEX(DS_GIAOVIEN!B:B,MATCH(B118,DS_GIAOVIEN!B:B,0),1)</f>
        <v>Trương Võ Thành</v>
      </c>
    </row>
    <row r="119" spans="1:4" s="15" customFormat="1" ht="19.2" customHeight="1" x14ac:dyDescent="0.25">
      <c r="A119" s="8">
        <v>118</v>
      </c>
      <c r="B119" s="11" t="s">
        <v>119</v>
      </c>
      <c r="C119" s="12">
        <v>2.2999999999999998</v>
      </c>
      <c r="D119" s="7" t="str">
        <f>INDEX(DS_GIAOVIEN!B:B,MATCH(B119,DS_GIAOVIEN!B:B,0),1)</f>
        <v>Nguyễn Thị Bích Ngọc</v>
      </c>
    </row>
    <row r="120" spans="1:4" s="15" customFormat="1" ht="19.2" customHeight="1" x14ac:dyDescent="0.25">
      <c r="A120" s="8">
        <v>119</v>
      </c>
      <c r="B120" s="11" t="s">
        <v>120</v>
      </c>
      <c r="C120" s="12">
        <v>18.2</v>
      </c>
      <c r="D120" s="7" t="str">
        <f>INDEX(DS_GIAOVIEN!B:B,MATCH(B120,DS_GIAOVIEN!B:B,0),1)</f>
        <v>Trần Thanh Hải</v>
      </c>
    </row>
    <row r="121" spans="1:4" s="15" customFormat="1" ht="19.2" customHeight="1" x14ac:dyDescent="0.25">
      <c r="A121" s="8">
        <v>120</v>
      </c>
      <c r="B121" s="11" t="s">
        <v>121</v>
      </c>
      <c r="C121" s="12">
        <v>10.199999999999999</v>
      </c>
      <c r="D121" s="7" t="str">
        <f>INDEX(DS_GIAOVIEN!B:B,MATCH(B121,DS_GIAOVIEN!B:B,0),1)</f>
        <v>Nguyễn Ngọc Tuấn</v>
      </c>
    </row>
    <row r="122" spans="1:4" s="15" customFormat="1" ht="19.2" customHeight="1" x14ac:dyDescent="0.25">
      <c r="A122" s="8">
        <v>121</v>
      </c>
      <c r="B122" s="11" t="s">
        <v>122</v>
      </c>
      <c r="C122" s="12">
        <v>24</v>
      </c>
      <c r="D122" s="7" t="str">
        <f>INDEX(DS_GIAOVIEN!B:B,MATCH(B122,DS_GIAOVIEN!B:B,0),1)</f>
        <v>Nguyễn Thành Chung</v>
      </c>
    </row>
    <row r="123" spans="1:4" s="15" customFormat="1" ht="19.2" customHeight="1" x14ac:dyDescent="0.25">
      <c r="A123" s="8">
        <v>122</v>
      </c>
      <c r="B123" s="11" t="s">
        <v>123</v>
      </c>
      <c r="C123" s="12">
        <v>24</v>
      </c>
      <c r="D123" s="7" t="str">
        <f>INDEX(DS_GIAOVIEN!B:B,MATCH(B123,DS_GIAOVIEN!B:B,0),1)</f>
        <v>Y Si la Knul</v>
      </c>
    </row>
    <row r="124" spans="1:4" s="15" customFormat="1" ht="19.8" customHeight="1" x14ac:dyDescent="0.25">
      <c r="A124" s="8">
        <v>123</v>
      </c>
      <c r="B124" s="11" t="s">
        <v>124</v>
      </c>
      <c r="C124" s="12">
        <v>3.7</v>
      </c>
      <c r="D124" s="7" t="str">
        <f>INDEX(DS_GIAOVIEN!B:B,MATCH(B124,DS_GIAOVIEN!B:B,0),1)</f>
        <v>H' Diện Niê</v>
      </c>
    </row>
  </sheetData>
  <autoFilter ref="D1:D124" xr:uid="{13DE01FF-19D9-4675-B0A0-8A32EED0A3D3}"/>
  <conditionalFormatting sqref="C45">
    <cfRule type="cellIs" dxfId="0" priority="3" operator="equal">
      <formula>XFB45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33A1-190F-4BE4-B9EC-4BDB41C32DD5}">
  <dimension ref="A1:D173"/>
  <sheetViews>
    <sheetView workbookViewId="0">
      <selection activeCell="K28" activeCellId="1" sqref="B1 K28"/>
    </sheetView>
  </sheetViews>
  <sheetFormatPr defaultRowHeight="13.8" x14ac:dyDescent="0.25"/>
  <cols>
    <col min="1" max="1" width="10.19921875" style="15" customWidth="1"/>
    <col min="2" max="2" width="22.3984375" style="6" bestFit="1" customWidth="1"/>
    <col min="3" max="3" width="19.69921875" style="19" customWidth="1"/>
    <col min="4" max="4" width="22.3984375" bestFit="1" customWidth="1"/>
  </cols>
  <sheetData>
    <row r="1" spans="1:4" ht="25.2" customHeight="1" x14ac:dyDescent="0.25">
      <c r="A1" s="16" t="s">
        <v>172</v>
      </c>
      <c r="B1" s="18" t="s">
        <v>1</v>
      </c>
      <c r="C1" s="17" t="s">
        <v>254</v>
      </c>
      <c r="D1" s="17" t="s">
        <v>250</v>
      </c>
    </row>
    <row r="2" spans="1:4" x14ac:dyDescent="0.25">
      <c r="A2" s="20">
        <v>1</v>
      </c>
      <c r="B2" s="7" t="s">
        <v>125</v>
      </c>
      <c r="C2" s="22">
        <v>20.3</v>
      </c>
      <c r="D2" s="7" t="str">
        <f>INDEX(DS_GIAOVIEN!B:B,MATCH(COI_CHAM_HK1!B2,DS_GIAOVIEN!B:B,0),1)</f>
        <v>Trần Thị Cẩm Linh</v>
      </c>
    </row>
    <row r="3" spans="1:4" x14ac:dyDescent="0.25">
      <c r="A3" s="20">
        <v>1</v>
      </c>
      <c r="B3" s="7" t="s">
        <v>126</v>
      </c>
      <c r="C3" s="22">
        <v>32.700000000000003</v>
      </c>
      <c r="D3" s="7" t="str">
        <f>INDEX(DS_GIAOVIEN!B:B,MATCH(COI_CHAM_HK1!B3,DS_GIAOVIEN!B:B,0),1)</f>
        <v>Huỳnh Thị Ngọc Ánh</v>
      </c>
    </row>
    <row r="4" spans="1:4" x14ac:dyDescent="0.25">
      <c r="A4" s="20">
        <v>1</v>
      </c>
      <c r="B4" s="7" t="s">
        <v>127</v>
      </c>
      <c r="C4" s="22">
        <v>25.8</v>
      </c>
      <c r="D4" s="7" t="str">
        <f>INDEX(DS_GIAOVIEN!B:B,MATCH(COI_CHAM_HK1!B4,DS_GIAOVIEN!B:B,0),1)</f>
        <v>Ngô Thị Minh Châu</v>
      </c>
    </row>
    <row r="5" spans="1:4" x14ac:dyDescent="0.25">
      <c r="A5" s="20">
        <v>1</v>
      </c>
      <c r="B5" s="7" t="s">
        <v>128</v>
      </c>
      <c r="C5" s="22">
        <v>25.000000000000004</v>
      </c>
      <c r="D5" s="7" t="str">
        <f>INDEX(DS_GIAOVIEN!B:B,MATCH(COI_CHAM_HK1!B5,DS_GIAOVIEN!B:B,0),1)</f>
        <v>Nguyễn Thị Luyên</v>
      </c>
    </row>
    <row r="6" spans="1:4" x14ac:dyDescent="0.25">
      <c r="A6" s="20">
        <v>1</v>
      </c>
      <c r="B6" s="7" t="s">
        <v>129</v>
      </c>
      <c r="C6" s="22">
        <v>29.499999999999996</v>
      </c>
      <c r="D6" s="7" t="str">
        <f>INDEX(DS_GIAOVIEN!B:B,MATCH(COI_CHAM_HK1!B6,DS_GIAOVIEN!B:B,0),1)</f>
        <v>Nguyễn Thị Mai Lan</v>
      </c>
    </row>
    <row r="7" spans="1:4" x14ac:dyDescent="0.25">
      <c r="A7" s="20">
        <v>1</v>
      </c>
      <c r="B7" s="7" t="s">
        <v>223</v>
      </c>
      <c r="C7" s="22">
        <v>28.6</v>
      </c>
      <c r="D7" s="7" t="str">
        <f>INDEX(DS_GIAOVIEN!B:B,MATCH(COI_CHAM_HK1!B7,DS_GIAOVIEN!B:B,0),1)</f>
        <v>Đỗ Thùy Dương</v>
      </c>
    </row>
    <row r="8" spans="1:4" x14ac:dyDescent="0.25">
      <c r="A8" s="20">
        <v>1</v>
      </c>
      <c r="B8" s="7" t="s">
        <v>130</v>
      </c>
      <c r="C8" s="22">
        <v>38.200000000000003</v>
      </c>
      <c r="D8" s="7" t="str">
        <f>INDEX(DS_GIAOVIEN!B:B,MATCH(COI_CHAM_HK1!B8,DS_GIAOVIEN!B:B,0),1)</f>
        <v>Y Wel Ênuôl</v>
      </c>
    </row>
    <row r="9" spans="1:4" x14ac:dyDescent="0.25">
      <c r="A9" s="20">
        <v>1</v>
      </c>
      <c r="B9" s="7" t="s">
        <v>2</v>
      </c>
      <c r="C9" s="22">
        <v>61.399999999999991</v>
      </c>
      <c r="D9" s="7" t="str">
        <f>INDEX(DS_GIAOVIEN!B:B,MATCH(COI_CHAM_HK1!B9,DS_GIAOVIEN!B:B,0),1)</f>
        <v>Đinh Trọng Hiếu</v>
      </c>
    </row>
    <row r="10" spans="1:4" x14ac:dyDescent="0.25">
      <c r="A10" s="20">
        <v>1</v>
      </c>
      <c r="B10" s="7" t="s">
        <v>59</v>
      </c>
      <c r="C10" s="22">
        <v>79.320000000000022</v>
      </c>
      <c r="D10" s="7" t="str">
        <f>INDEX(DS_GIAOVIEN!B:B,MATCH(COI_CHAM_HK1!B10,DS_GIAOVIEN!B:B,0),1)</f>
        <v>Nguyễn Văn Độ</v>
      </c>
    </row>
    <row r="11" spans="1:4" x14ac:dyDescent="0.25">
      <c r="A11" s="20">
        <v>1</v>
      </c>
      <c r="B11" s="7" t="s">
        <v>60</v>
      </c>
      <c r="C11" s="22">
        <v>95.820000000000036</v>
      </c>
      <c r="D11" s="7" t="str">
        <f>INDEX(DS_GIAOVIEN!B:B,MATCH(COI_CHAM_HK1!B11,DS_GIAOVIEN!B:B,0),1)</f>
        <v>Đỗ Thị Kiều Vân</v>
      </c>
    </row>
    <row r="12" spans="1:4" x14ac:dyDescent="0.25">
      <c r="A12" s="20">
        <v>1</v>
      </c>
      <c r="B12" s="7" t="s">
        <v>131</v>
      </c>
      <c r="C12" s="22">
        <v>208.19999999999996</v>
      </c>
      <c r="D12" s="7" t="str">
        <f>INDEX(DS_GIAOVIEN!B:B,MATCH(COI_CHAM_HK1!B12,DS_GIAOVIEN!B:B,0),1)</f>
        <v>Nguyễn Thành Nguyên</v>
      </c>
    </row>
    <row r="13" spans="1:4" x14ac:dyDescent="0.25">
      <c r="A13" s="20">
        <v>1</v>
      </c>
      <c r="B13" s="7" t="s">
        <v>132</v>
      </c>
      <c r="C13" s="22">
        <v>206.60000000000005</v>
      </c>
      <c r="D13" s="7" t="str">
        <f>INDEX(DS_GIAOVIEN!B:B,MATCH(COI_CHAM_HK1!B13,DS_GIAOVIEN!B:B,0),1)</f>
        <v>Nguyễn Anh Thái</v>
      </c>
    </row>
    <row r="14" spans="1:4" x14ac:dyDescent="0.25">
      <c r="A14" s="20">
        <v>1</v>
      </c>
      <c r="B14" s="7" t="s">
        <v>133</v>
      </c>
      <c r="C14" s="22">
        <v>196</v>
      </c>
      <c r="D14" s="7" t="str">
        <f>INDEX(DS_GIAOVIEN!B:B,MATCH(COI_CHAM_HK1!B14,DS_GIAOVIEN!B:B,0),1)</f>
        <v>Nguyễn Quốc Tuấn</v>
      </c>
    </row>
    <row r="15" spans="1:4" x14ac:dyDescent="0.25">
      <c r="A15" s="20">
        <v>1</v>
      </c>
      <c r="B15" s="7" t="s">
        <v>134</v>
      </c>
      <c r="C15" s="22">
        <v>206.70000000000002</v>
      </c>
      <c r="D15" s="7" t="str">
        <f>INDEX(DS_GIAOVIEN!B:B,MATCH(COI_CHAM_HK1!B15,DS_GIAOVIEN!B:B,0),1)</f>
        <v>Nguyễn Mạnh Quế</v>
      </c>
    </row>
    <row r="16" spans="1:4" x14ac:dyDescent="0.25">
      <c r="A16" s="20">
        <v>1</v>
      </c>
      <c r="B16" s="7" t="s">
        <v>135</v>
      </c>
      <c r="C16" s="22">
        <v>182.29999999999998</v>
      </c>
      <c r="D16" s="7" t="str">
        <f>INDEX(DS_GIAOVIEN!B:B,MATCH(COI_CHAM_HK1!B16,DS_GIAOVIEN!B:B,0),1)</f>
        <v>Lưu Thiện Luật</v>
      </c>
    </row>
    <row r="17" spans="1:4" x14ac:dyDescent="0.25">
      <c r="A17" s="20">
        <v>1</v>
      </c>
      <c r="B17" s="7" t="s">
        <v>136</v>
      </c>
      <c r="C17" s="22">
        <v>147.19999999999996</v>
      </c>
      <c r="D17" s="7" t="str">
        <f>INDEX(DS_GIAOVIEN!B:B,MATCH(COI_CHAM_HK1!B17,DS_GIAOVIEN!B:B,0),1)</f>
        <v>Trần Thị Kim Dung</v>
      </c>
    </row>
    <row r="18" spans="1:4" x14ac:dyDescent="0.25">
      <c r="A18" s="20">
        <v>1</v>
      </c>
      <c r="B18" s="7" t="s">
        <v>137</v>
      </c>
      <c r="C18" s="22">
        <v>147.82000000000005</v>
      </c>
      <c r="D18" s="7" t="str">
        <f>INDEX(DS_GIAOVIEN!B:B,MATCH(COI_CHAM_HK1!B18,DS_GIAOVIEN!B:B,0),1)</f>
        <v>Huỳnh Ngọc Hoài Phương</v>
      </c>
    </row>
    <row r="19" spans="1:4" x14ac:dyDescent="0.25">
      <c r="A19" s="20">
        <v>1</v>
      </c>
      <c r="B19" s="7" t="s">
        <v>138</v>
      </c>
      <c r="C19" s="22">
        <v>38.6</v>
      </c>
      <c r="D19" s="7" t="str">
        <f>INDEX(DS_GIAOVIEN!B:B,MATCH(COI_CHAM_HK1!B19,DS_GIAOVIEN!B:B,0),1)</f>
        <v>Nguyễn Thị Luyến</v>
      </c>
    </row>
    <row r="20" spans="1:4" x14ac:dyDescent="0.25">
      <c r="A20" s="20">
        <v>1</v>
      </c>
      <c r="B20" s="7" t="s">
        <v>3</v>
      </c>
      <c r="C20" s="22">
        <v>37.6</v>
      </c>
      <c r="D20" s="7" t="str">
        <f>INDEX(DS_GIAOVIEN!B:B,MATCH(COI_CHAM_HK1!B20,DS_GIAOVIEN!B:B,0),1)</f>
        <v>Hồ Viết Thắng</v>
      </c>
    </row>
    <row r="21" spans="1:4" x14ac:dyDescent="0.25">
      <c r="A21" s="20">
        <v>1</v>
      </c>
      <c r="B21" s="7" t="s">
        <v>61</v>
      </c>
      <c r="C21" s="22">
        <v>76.400000000000006</v>
      </c>
      <c r="D21" s="7" t="str">
        <f>INDEX(DS_GIAOVIEN!B:B,MATCH(COI_CHAM_HK1!B21,DS_GIAOVIEN!B:B,0),1)</f>
        <v>Nguyễn Thị Miền</v>
      </c>
    </row>
    <row r="22" spans="1:4" x14ac:dyDescent="0.25">
      <c r="A22" s="20">
        <v>1</v>
      </c>
      <c r="B22" s="7" t="s">
        <v>139</v>
      </c>
      <c r="C22" s="22">
        <v>87.000000000000028</v>
      </c>
      <c r="D22" s="7" t="str">
        <f>INDEX(DS_GIAOVIEN!B:B,MATCH(COI_CHAM_HK1!B22,DS_GIAOVIEN!B:B,0),1)</f>
        <v>Nguyễn Thanh Tịnh</v>
      </c>
    </row>
    <row r="23" spans="1:4" x14ac:dyDescent="0.25">
      <c r="A23" s="20">
        <v>1</v>
      </c>
      <c r="B23" s="7" t="s">
        <v>140</v>
      </c>
      <c r="C23" s="22">
        <v>44.6</v>
      </c>
      <c r="D23" s="7" t="str">
        <f>INDEX(DS_GIAOVIEN!B:B,MATCH(COI_CHAM_HK1!B23,DS_GIAOVIEN!B:B,0),1)</f>
        <v>Mai Hồng Song</v>
      </c>
    </row>
    <row r="24" spans="1:4" x14ac:dyDescent="0.25">
      <c r="A24" s="20">
        <v>1</v>
      </c>
      <c r="B24" s="7" t="s">
        <v>87</v>
      </c>
      <c r="C24" s="22">
        <v>13.400000000000002</v>
      </c>
      <c r="D24" s="7" t="str">
        <f>INDEX(DS_GIAOVIEN!B:B,MATCH(COI_CHAM_HK1!B24,DS_GIAOVIEN!B:B,0),1)</f>
        <v>Nguyễn Thị Thu Dung</v>
      </c>
    </row>
    <row r="25" spans="1:4" x14ac:dyDescent="0.25">
      <c r="A25" s="20">
        <v>1</v>
      </c>
      <c r="B25" s="7" t="s">
        <v>235</v>
      </c>
      <c r="C25" s="22">
        <v>6.3000000000000007</v>
      </c>
      <c r="D25" s="7" t="str">
        <f>INDEX(DS_GIAOVIEN!B:B,MATCH(COI_CHAM_HK1!B25,DS_GIAOVIEN!B:B,0),1)</f>
        <v>Trương Thị Dung</v>
      </c>
    </row>
    <row r="26" spans="1:4" x14ac:dyDescent="0.25">
      <c r="A26" s="20">
        <v>2</v>
      </c>
      <c r="B26" s="7" t="s">
        <v>146</v>
      </c>
      <c r="C26" s="22">
        <v>38.799999999999997</v>
      </c>
      <c r="D26" s="7" t="str">
        <f>INDEX(DS_GIAOVIEN!B:B,MATCH(COI_CHAM_HK1!B26,DS_GIAOVIEN!B:B,0),1)</f>
        <v>Đinh Phú Nguyên</v>
      </c>
    </row>
    <row r="27" spans="1:4" x14ac:dyDescent="0.25">
      <c r="A27" s="20">
        <v>2</v>
      </c>
      <c r="B27" s="7" t="s">
        <v>44</v>
      </c>
      <c r="C27" s="22">
        <v>23.8</v>
      </c>
      <c r="D27" s="7" t="str">
        <f>INDEX(DS_GIAOVIEN!B:B,MATCH(COI_CHAM_HK1!B27,DS_GIAOVIEN!B:B,0),1)</f>
        <v>Lê Văn Tùng</v>
      </c>
    </row>
    <row r="28" spans="1:4" x14ac:dyDescent="0.25">
      <c r="A28" s="20">
        <v>2</v>
      </c>
      <c r="B28" s="7" t="s">
        <v>216</v>
      </c>
      <c r="C28" s="22">
        <v>23.799999999999997</v>
      </c>
      <c r="D28" s="7" t="str">
        <f>INDEX(DS_GIAOVIEN!B:B,MATCH(COI_CHAM_HK1!B28,DS_GIAOVIEN!B:B,0),1)</f>
        <v>Nguyễn Thị Thùy Linh</v>
      </c>
    </row>
    <row r="29" spans="1:4" x14ac:dyDescent="0.25">
      <c r="A29" s="20">
        <v>2</v>
      </c>
      <c r="B29" s="7" t="s">
        <v>75</v>
      </c>
      <c r="C29" s="22">
        <v>98.8</v>
      </c>
      <c r="D29" s="7" t="str">
        <f>INDEX(DS_GIAOVIEN!B:B,MATCH(COI_CHAM_HK1!B29,DS_GIAOVIEN!B:B,0),1)</f>
        <v>Dương Duy Hậu</v>
      </c>
    </row>
    <row r="30" spans="1:4" x14ac:dyDescent="0.25">
      <c r="A30" s="20">
        <v>2</v>
      </c>
      <c r="B30" s="7" t="s">
        <v>46</v>
      </c>
      <c r="C30" s="22">
        <v>30.699999999999996</v>
      </c>
      <c r="D30" s="7" t="str">
        <f>INDEX(DS_GIAOVIEN!B:B,MATCH(COI_CHAM_HK1!B30,DS_GIAOVIEN!B:B,0),1)</f>
        <v>Nguyễn Như Kiên</v>
      </c>
    </row>
    <row r="31" spans="1:4" x14ac:dyDescent="0.25">
      <c r="A31" s="20">
        <v>2</v>
      </c>
      <c r="B31" s="7" t="s">
        <v>45</v>
      </c>
      <c r="C31" s="22">
        <v>54.8</v>
      </c>
      <c r="D31" s="7" t="str">
        <f>INDEX(DS_GIAOVIEN!B:B,MATCH(COI_CHAM_HK1!B31,DS_GIAOVIEN!B:B,0),1)</f>
        <v>Dương Thị Thúy Hoàng</v>
      </c>
    </row>
    <row r="32" spans="1:4" x14ac:dyDescent="0.25">
      <c r="A32" s="20">
        <v>2</v>
      </c>
      <c r="B32" s="7" t="s">
        <v>13</v>
      </c>
      <c r="C32" s="22">
        <v>48.29999999999999</v>
      </c>
      <c r="D32" s="7" t="str">
        <f>INDEX(DS_GIAOVIEN!B:B,MATCH(COI_CHAM_HK1!B32,DS_GIAOVIEN!B:B,0),1)</f>
        <v>Nguyễn Thị Thu Hà</v>
      </c>
    </row>
    <row r="33" spans="1:4" x14ac:dyDescent="0.25">
      <c r="A33" s="20">
        <v>2</v>
      </c>
      <c r="B33" s="7" t="s">
        <v>40</v>
      </c>
      <c r="C33" s="22">
        <v>88.8</v>
      </c>
      <c r="D33" s="7" t="str">
        <f>INDEX(DS_GIAOVIEN!B:B,MATCH(COI_CHAM_HK1!B33,DS_GIAOVIEN!B:B,0),1)</f>
        <v>Lê Thị Hạnh</v>
      </c>
    </row>
    <row r="34" spans="1:4" x14ac:dyDescent="0.25">
      <c r="A34" s="20">
        <v>2</v>
      </c>
      <c r="B34" s="7" t="s">
        <v>67</v>
      </c>
      <c r="C34" s="22">
        <v>103.80000000000001</v>
      </c>
      <c r="D34" s="7" t="str">
        <f>INDEX(DS_GIAOVIEN!B:B,MATCH(COI_CHAM_HK1!B34,DS_GIAOVIEN!B:B,0),1)</f>
        <v>Phạm Thị Thu Hạnh</v>
      </c>
    </row>
    <row r="35" spans="1:4" x14ac:dyDescent="0.25">
      <c r="A35" s="20">
        <v>2</v>
      </c>
      <c r="B35" s="7" t="s">
        <v>24</v>
      </c>
      <c r="C35" s="22">
        <v>77.699999999999989</v>
      </c>
      <c r="D35" s="7" t="str">
        <f>INDEX(DS_GIAOVIEN!B:B,MATCH(COI_CHAM_HK1!B35,DS_GIAOVIEN!B:B,0),1)</f>
        <v>Hoàng Thị Mền</v>
      </c>
    </row>
    <row r="36" spans="1:4" x14ac:dyDescent="0.25">
      <c r="A36" s="20">
        <v>2</v>
      </c>
      <c r="B36" s="7" t="s">
        <v>10</v>
      </c>
      <c r="C36" s="22">
        <v>98.9</v>
      </c>
      <c r="D36" s="7" t="str">
        <f>INDEX(DS_GIAOVIEN!B:B,MATCH(COI_CHAM_HK1!B36,DS_GIAOVIEN!B:B,0),1)</f>
        <v>Nguyễn Bá Hoàn</v>
      </c>
    </row>
    <row r="37" spans="1:4" x14ac:dyDescent="0.25">
      <c r="A37" s="20">
        <v>2</v>
      </c>
      <c r="B37" s="7" t="s">
        <v>92</v>
      </c>
      <c r="C37" s="22">
        <v>82.300000000000011</v>
      </c>
      <c r="D37" s="7" t="str">
        <f>INDEX(DS_GIAOVIEN!B:B,MATCH(COI_CHAM_HK1!B37,DS_GIAOVIEN!B:B,0),1)</f>
        <v>Trần Thị Bích Thùy</v>
      </c>
    </row>
    <row r="38" spans="1:4" x14ac:dyDescent="0.25">
      <c r="A38" s="20">
        <v>2</v>
      </c>
      <c r="B38" s="7" t="s">
        <v>9</v>
      </c>
      <c r="C38" s="22">
        <v>81.5</v>
      </c>
      <c r="D38" s="7" t="str">
        <f>INDEX(DS_GIAOVIEN!B:B,MATCH(COI_CHAM_HK1!B38,DS_GIAOVIEN!B:B,0),1)</f>
        <v>Nguyễn Thị Ái Nhi</v>
      </c>
    </row>
    <row r="39" spans="1:4" x14ac:dyDescent="0.25">
      <c r="A39" s="20">
        <v>2</v>
      </c>
      <c r="B39" s="7" t="s">
        <v>98</v>
      </c>
      <c r="C39" s="22">
        <v>87.100000000000009</v>
      </c>
      <c r="D39" s="7" t="str">
        <f>INDEX(DS_GIAOVIEN!B:B,MATCH(COI_CHAM_HK1!B39,DS_GIAOVIEN!B:B,0),1)</f>
        <v>Trần Anh Tuấn</v>
      </c>
    </row>
    <row r="40" spans="1:4" x14ac:dyDescent="0.25">
      <c r="A40" s="20">
        <v>2</v>
      </c>
      <c r="B40" s="7" t="s">
        <v>97</v>
      </c>
      <c r="C40" s="22">
        <v>69.3</v>
      </c>
      <c r="D40" s="7" t="str">
        <f>INDEX(DS_GIAOVIEN!B:B,MATCH(COI_CHAM_HK1!B40,DS_GIAOVIEN!B:B,0),1)</f>
        <v>Nguyễn Thị Giang</v>
      </c>
    </row>
    <row r="41" spans="1:4" x14ac:dyDescent="0.25">
      <c r="A41" s="20">
        <v>2</v>
      </c>
      <c r="B41" s="7" t="s">
        <v>147</v>
      </c>
      <c r="C41" s="22">
        <v>94.300000000000011</v>
      </c>
      <c r="D41" s="7" t="str">
        <f>INDEX(DS_GIAOVIEN!B:B,MATCH(COI_CHAM_HK1!B41,DS_GIAOVIEN!B:B,0),1)</f>
        <v>Nguyễn Đức Anh</v>
      </c>
    </row>
    <row r="42" spans="1:4" x14ac:dyDescent="0.25">
      <c r="A42" s="20">
        <v>2</v>
      </c>
      <c r="B42" s="7" t="s">
        <v>14</v>
      </c>
      <c r="C42" s="22">
        <v>97.2</v>
      </c>
      <c r="D42" s="7" t="str">
        <f>INDEX(DS_GIAOVIEN!B:B,MATCH(COI_CHAM_HK1!B42,DS_GIAOVIEN!B:B,0),1)</f>
        <v>Phan Thị Hà</v>
      </c>
    </row>
    <row r="43" spans="1:4" x14ac:dyDescent="0.25">
      <c r="A43" s="20">
        <v>2</v>
      </c>
      <c r="B43" s="7" t="s">
        <v>96</v>
      </c>
      <c r="C43" s="22">
        <v>78.7</v>
      </c>
      <c r="D43" s="7" t="str">
        <f>INDEX(DS_GIAOVIEN!B:B,MATCH(COI_CHAM_HK1!B43,DS_GIAOVIEN!B:B,0),1)</f>
        <v>Nguyễn Trần Hồng Quân</v>
      </c>
    </row>
    <row r="44" spans="1:4" x14ac:dyDescent="0.25">
      <c r="A44" s="20">
        <v>2</v>
      </c>
      <c r="B44" s="7" t="s">
        <v>91</v>
      </c>
      <c r="C44" s="22">
        <v>81.399999999999991</v>
      </c>
      <c r="D44" s="7" t="str">
        <f>INDEX(DS_GIAOVIEN!B:B,MATCH(COI_CHAM_HK1!B44,DS_GIAOVIEN!B:B,0),1)</f>
        <v>Phạm Thị Thúy Vân</v>
      </c>
    </row>
    <row r="45" spans="1:4" x14ac:dyDescent="0.25">
      <c r="A45" s="20">
        <v>2</v>
      </c>
      <c r="B45" s="7" t="s">
        <v>29</v>
      </c>
      <c r="C45" s="22">
        <v>17.799999999999997</v>
      </c>
      <c r="D45" s="7" t="str">
        <f>INDEX(DS_GIAOVIEN!B:B,MATCH(COI_CHAM_HK1!B45,DS_GIAOVIEN!B:B,0),1)</f>
        <v>Ngô Thùy Hương</v>
      </c>
    </row>
    <row r="46" spans="1:4" x14ac:dyDescent="0.25">
      <c r="A46" s="20">
        <v>2</v>
      </c>
      <c r="B46" s="7" t="s">
        <v>62</v>
      </c>
      <c r="C46" s="22">
        <v>19.899999999999999</v>
      </c>
      <c r="D46" s="7" t="str">
        <f>INDEX(DS_GIAOVIEN!B:B,MATCH(COI_CHAM_HK1!B46,DS_GIAOVIEN!B:B,0),1)</f>
        <v>Vũ Thị Lệ Thủy</v>
      </c>
    </row>
    <row r="47" spans="1:4" x14ac:dyDescent="0.25">
      <c r="A47" s="20">
        <v>2</v>
      </c>
      <c r="B47" s="7" t="s">
        <v>63</v>
      </c>
      <c r="C47" s="22">
        <v>34.1</v>
      </c>
      <c r="D47" s="7" t="str">
        <f>INDEX(DS_GIAOVIEN!B:B,MATCH(COI_CHAM_HK1!B47,DS_GIAOVIEN!B:B,0),1)</f>
        <v>Bùi Thị Lý</v>
      </c>
    </row>
    <row r="48" spans="1:4" x14ac:dyDescent="0.25">
      <c r="A48" s="20">
        <v>2</v>
      </c>
      <c r="B48" s="7" t="s">
        <v>30</v>
      </c>
      <c r="C48" s="22">
        <v>29.6</v>
      </c>
      <c r="D48" s="7" t="str">
        <f>INDEX(DS_GIAOVIEN!B:B,MATCH(COI_CHAM_HK1!B48,DS_GIAOVIEN!B:B,0),1)</f>
        <v>Nguyễn Ngọc Châu</v>
      </c>
    </row>
    <row r="49" spans="1:4" x14ac:dyDescent="0.25">
      <c r="A49" s="20">
        <v>2</v>
      </c>
      <c r="B49" s="7" t="s">
        <v>80</v>
      </c>
      <c r="C49" s="22">
        <v>31.1</v>
      </c>
      <c r="D49" s="7" t="str">
        <f>INDEX(DS_GIAOVIEN!B:B,MATCH(COI_CHAM_HK1!B49,DS_GIAOVIEN!B:B,0),1)</f>
        <v>Huỳnh Ngọc Đồng</v>
      </c>
    </row>
    <row r="50" spans="1:4" x14ac:dyDescent="0.25">
      <c r="A50" s="20">
        <v>2</v>
      </c>
      <c r="B50" s="7" t="s">
        <v>244</v>
      </c>
      <c r="C50" s="22">
        <v>52.999999999999993</v>
      </c>
      <c r="D50" s="7" t="str">
        <f>INDEX(DS_GIAOVIEN!B:B,MATCH(COI_CHAM_HK1!B50,DS_GIAOVIEN!B:B,0),1)</f>
        <v>Nguyễn Thị Mai Trinh</v>
      </c>
    </row>
    <row r="51" spans="1:4" x14ac:dyDescent="0.25">
      <c r="A51" s="20">
        <v>3</v>
      </c>
      <c r="B51" s="7" t="s">
        <v>148</v>
      </c>
      <c r="C51" s="22">
        <v>17.600000000000001</v>
      </c>
      <c r="D51" s="7" t="str">
        <f>INDEX(DS_GIAOVIEN!B:B,MATCH(COI_CHAM_HK1!B51,DS_GIAOVIEN!B:B,0),1)</f>
        <v>Y Tô Niê Hra</v>
      </c>
    </row>
    <row r="52" spans="1:4" x14ac:dyDescent="0.25">
      <c r="A52" s="20">
        <v>3</v>
      </c>
      <c r="B52" s="7" t="s">
        <v>39</v>
      </c>
      <c r="C52" s="22">
        <v>54.800000000000004</v>
      </c>
      <c r="D52" s="7" t="str">
        <f>INDEX(DS_GIAOVIEN!B:B,MATCH(COI_CHAM_HK1!B52,DS_GIAOVIEN!B:B,0),1)</f>
        <v>Trịnh Văn Thuyết</v>
      </c>
    </row>
    <row r="53" spans="1:4" x14ac:dyDescent="0.25">
      <c r="A53" s="20">
        <v>3</v>
      </c>
      <c r="B53" s="7" t="s">
        <v>149</v>
      </c>
      <c r="C53" s="22">
        <v>46.5</v>
      </c>
      <c r="D53" s="7" t="str">
        <f>INDEX(DS_GIAOVIEN!B:B,MATCH(COI_CHAM_HK1!B53,DS_GIAOVIEN!B:B,0),1)</f>
        <v>Trần Văn Khi</v>
      </c>
    </row>
    <row r="54" spans="1:4" x14ac:dyDescent="0.25">
      <c r="A54" s="20">
        <v>3</v>
      </c>
      <c r="B54" s="7" t="s">
        <v>76</v>
      </c>
      <c r="C54" s="22">
        <v>39.099999999999994</v>
      </c>
      <c r="D54" s="7" t="str">
        <f>INDEX(DS_GIAOVIEN!B:B,MATCH(COI_CHAM_HK1!B54,DS_GIAOVIEN!B:B,0),1)</f>
        <v>Cao Hữu Hải</v>
      </c>
    </row>
    <row r="55" spans="1:4" x14ac:dyDescent="0.25">
      <c r="A55" s="20">
        <v>3</v>
      </c>
      <c r="B55" s="7" t="s">
        <v>47</v>
      </c>
      <c r="C55" s="22">
        <v>34.900000000000006</v>
      </c>
      <c r="D55" s="7" t="str">
        <f>INDEX(DS_GIAOVIEN!B:B,MATCH(COI_CHAM_HK1!B55,DS_GIAOVIEN!B:B,0),1)</f>
        <v>Nguyễn Võ Danh</v>
      </c>
    </row>
    <row r="56" spans="1:4" x14ac:dyDescent="0.25">
      <c r="A56" s="20">
        <v>3</v>
      </c>
      <c r="B56" s="7" t="s">
        <v>77</v>
      </c>
      <c r="C56" s="22">
        <v>42.999999999999993</v>
      </c>
      <c r="D56" s="7" t="str">
        <f>INDEX(DS_GIAOVIEN!B:B,MATCH(COI_CHAM_HK1!B56,DS_GIAOVIEN!B:B,0),1)</f>
        <v>Lê Ngọc An</v>
      </c>
    </row>
    <row r="57" spans="1:4" x14ac:dyDescent="0.25">
      <c r="A57" s="20">
        <v>3</v>
      </c>
      <c r="B57" s="7" t="s">
        <v>72</v>
      </c>
      <c r="C57" s="22">
        <v>30.5</v>
      </c>
      <c r="D57" s="7" t="str">
        <f>INDEX(DS_GIAOVIEN!B:B,MATCH(COI_CHAM_HK1!B57,DS_GIAOVIEN!B:B,0),1)</f>
        <v>Trần Ngọc Thanh</v>
      </c>
    </row>
    <row r="58" spans="1:4" x14ac:dyDescent="0.25">
      <c r="A58" s="20">
        <v>3</v>
      </c>
      <c r="B58" s="7" t="s">
        <v>49</v>
      </c>
      <c r="C58" s="22">
        <v>38.5</v>
      </c>
      <c r="D58" s="7" t="str">
        <f>INDEX(DS_GIAOVIEN!B:B,MATCH(COI_CHAM_HK1!B58,DS_GIAOVIEN!B:B,0),1)</f>
        <v>Nguyễn Thanh Dinh</v>
      </c>
    </row>
    <row r="59" spans="1:4" x14ac:dyDescent="0.25">
      <c r="A59" s="20">
        <v>3</v>
      </c>
      <c r="B59" s="7" t="s">
        <v>15</v>
      </c>
      <c r="C59" s="22">
        <v>24.999999999999996</v>
      </c>
      <c r="D59" s="7" t="str">
        <f>INDEX(DS_GIAOVIEN!B:B,MATCH(COI_CHAM_HK1!B59,DS_GIAOVIEN!B:B,0),1)</f>
        <v>Vũ Văn Minh</v>
      </c>
    </row>
    <row r="60" spans="1:4" x14ac:dyDescent="0.25">
      <c r="A60" s="20">
        <v>3</v>
      </c>
      <c r="B60" s="7" t="s">
        <v>16</v>
      </c>
      <c r="C60" s="22">
        <v>16.600000000000001</v>
      </c>
      <c r="D60" s="7" t="str">
        <f>INDEX(DS_GIAOVIEN!B:B,MATCH(COI_CHAM_HK1!B60,DS_GIAOVIEN!B:B,0),1)</f>
        <v>Đỗ Tất Thiện</v>
      </c>
    </row>
    <row r="61" spans="1:4" x14ac:dyDescent="0.25">
      <c r="A61" s="20">
        <v>3</v>
      </c>
      <c r="B61" s="7" t="s">
        <v>6</v>
      </c>
      <c r="C61" s="22">
        <v>15.399999999999999</v>
      </c>
      <c r="D61" s="7" t="str">
        <f>INDEX(DS_GIAOVIEN!B:B,MATCH(COI_CHAM_HK1!B61,DS_GIAOVIEN!B:B,0),1)</f>
        <v>Phạm Thúc Định</v>
      </c>
    </row>
    <row r="62" spans="1:4" x14ac:dyDescent="0.25">
      <c r="A62" s="20">
        <v>3</v>
      </c>
      <c r="B62" s="7" t="s">
        <v>50</v>
      </c>
      <c r="C62" s="22">
        <v>29.5</v>
      </c>
      <c r="D62" s="7" t="str">
        <f>INDEX(DS_GIAOVIEN!B:B,MATCH(COI_CHAM_HK1!B62,DS_GIAOVIEN!B:B,0),1)</f>
        <v>Nguyễn Ngọc Khoa</v>
      </c>
    </row>
    <row r="63" spans="1:4" x14ac:dyDescent="0.25">
      <c r="A63" s="20">
        <v>3</v>
      </c>
      <c r="B63" s="7" t="s">
        <v>48</v>
      </c>
      <c r="C63" s="22">
        <v>27.5</v>
      </c>
      <c r="D63" s="7" t="str">
        <f>INDEX(DS_GIAOVIEN!B:B,MATCH(COI_CHAM_HK1!B63,DS_GIAOVIEN!B:B,0),1)</f>
        <v>Nguyễn Khôi Nguyên</v>
      </c>
    </row>
    <row r="64" spans="1:4" x14ac:dyDescent="0.25">
      <c r="A64" s="20">
        <v>3</v>
      </c>
      <c r="B64" s="7" t="s">
        <v>150</v>
      </c>
      <c r="C64" s="22">
        <v>17.100000000000001</v>
      </c>
      <c r="D64" s="7" t="str">
        <f>INDEX(DS_GIAOVIEN!B:B,MATCH(COI_CHAM_HK1!B64,DS_GIAOVIEN!B:B,0),1)</f>
        <v>Trịnh Xuân Yên</v>
      </c>
    </row>
    <row r="65" spans="1:4" x14ac:dyDescent="0.25">
      <c r="A65" s="20">
        <v>3</v>
      </c>
      <c r="B65" s="7" t="s">
        <v>70</v>
      </c>
      <c r="C65" s="22">
        <v>22.9</v>
      </c>
      <c r="D65" s="7" t="str">
        <f>INDEX(DS_GIAOVIEN!B:B,MATCH(COI_CHAM_HK1!B65,DS_GIAOVIEN!B:B,0),1)</f>
        <v>Trần Lâm Sơn</v>
      </c>
    </row>
    <row r="66" spans="1:4" x14ac:dyDescent="0.25">
      <c r="A66" s="20">
        <v>3</v>
      </c>
      <c r="B66" s="7" t="s">
        <v>33</v>
      </c>
      <c r="C66" s="22">
        <v>14.5</v>
      </c>
      <c r="D66" s="7" t="str">
        <f>INDEX(DS_GIAOVIEN!B:B,MATCH(COI_CHAM_HK1!B66,DS_GIAOVIEN!B:B,0),1)</f>
        <v>Nguyễn Hữu Hiệp</v>
      </c>
    </row>
    <row r="67" spans="1:4" x14ac:dyDescent="0.25">
      <c r="A67" s="20">
        <v>3</v>
      </c>
      <c r="B67" s="7" t="s">
        <v>115</v>
      </c>
      <c r="C67" s="22">
        <v>31.299999999999997</v>
      </c>
      <c r="D67" s="7" t="str">
        <f>INDEX(DS_GIAOVIEN!B:B,MATCH(COI_CHAM_HK1!B67,DS_GIAOVIEN!B:B,0),1)</f>
        <v>Nguyễn Văn Thành</v>
      </c>
    </row>
    <row r="68" spans="1:4" x14ac:dyDescent="0.25">
      <c r="A68" s="20">
        <v>3</v>
      </c>
      <c r="B68" s="7" t="s">
        <v>114</v>
      </c>
      <c r="C68" s="22">
        <v>21.6</v>
      </c>
      <c r="D68" s="7" t="str">
        <f>INDEX(DS_GIAOVIEN!B:B,MATCH(COI_CHAM_HK1!B68,DS_GIAOVIEN!B:B,0),1)</f>
        <v>Y Tho Byă</v>
      </c>
    </row>
    <row r="69" spans="1:4" x14ac:dyDescent="0.25">
      <c r="A69" s="20">
        <v>3</v>
      </c>
      <c r="B69" s="7" t="s">
        <v>95</v>
      </c>
      <c r="C69" s="22">
        <v>7.7</v>
      </c>
      <c r="D69" s="7" t="str">
        <f>INDEX(DS_GIAOVIEN!B:B,MATCH(COI_CHAM_HK1!B69,DS_GIAOVIEN!B:B,0),1)</f>
        <v>Nguyễn Thị Hương Thảo</v>
      </c>
    </row>
    <row r="70" spans="1:4" x14ac:dyDescent="0.25">
      <c r="A70" s="20">
        <v>4</v>
      </c>
      <c r="B70" s="7" t="s">
        <v>81</v>
      </c>
      <c r="C70" s="22">
        <v>40.299999999999997</v>
      </c>
      <c r="D70" s="7" t="str">
        <f>INDEX(DS_GIAOVIEN!B:B,MATCH(COI_CHAM_HK1!B70,DS_GIAOVIEN!B:B,0),1)</f>
        <v>Ngô Phạm Hồng Phước</v>
      </c>
    </row>
    <row r="71" spans="1:4" x14ac:dyDescent="0.25">
      <c r="A71" s="20">
        <v>4</v>
      </c>
      <c r="B71" s="7" t="s">
        <v>152</v>
      </c>
      <c r="C71" s="22">
        <v>65.899999999999991</v>
      </c>
      <c r="D71" s="7" t="str">
        <f>INDEX(DS_GIAOVIEN!B:B,MATCH(COI_CHAM_HK1!B71,DS_GIAOVIEN!B:B,0),1)</f>
        <v>Phan Anh Hậu</v>
      </c>
    </row>
    <row r="72" spans="1:4" x14ac:dyDescent="0.25">
      <c r="A72" s="20">
        <v>4</v>
      </c>
      <c r="B72" s="7" t="s">
        <v>64</v>
      </c>
      <c r="C72" s="22">
        <v>48.9</v>
      </c>
      <c r="D72" s="7" t="str">
        <f>INDEX(DS_GIAOVIEN!B:B,MATCH(COI_CHAM_HK1!B72,DS_GIAOVIEN!B:B,0),1)</f>
        <v>Vũ Đình Thi</v>
      </c>
    </row>
    <row r="73" spans="1:4" x14ac:dyDescent="0.25">
      <c r="A73" s="20">
        <v>4</v>
      </c>
      <c r="B73" s="7" t="s">
        <v>18</v>
      </c>
      <c r="C73" s="22">
        <v>78.2</v>
      </c>
      <c r="D73" s="7" t="str">
        <f>INDEX(DS_GIAOVIEN!B:B,MATCH(COI_CHAM_HK1!B73,DS_GIAOVIEN!B:B,0),1)</f>
        <v>Nguyễn Quốc Toàn</v>
      </c>
    </row>
    <row r="74" spans="1:4" x14ac:dyDescent="0.25">
      <c r="A74" s="20">
        <v>4</v>
      </c>
      <c r="B74" s="7" t="s">
        <v>17</v>
      </c>
      <c r="C74" s="22">
        <v>110.49999999999999</v>
      </c>
      <c r="D74" s="7" t="str">
        <f>INDEX(DS_GIAOVIEN!B:B,MATCH(COI_CHAM_HK1!B74,DS_GIAOVIEN!B:B,0),1)</f>
        <v>Nguyễn Hữu Hoành</v>
      </c>
    </row>
    <row r="75" spans="1:4" x14ac:dyDescent="0.25">
      <c r="A75" s="20">
        <v>4</v>
      </c>
      <c r="B75" s="7" t="s">
        <v>12</v>
      </c>
      <c r="C75" s="22">
        <v>25.459999999999997</v>
      </c>
      <c r="D75" s="7" t="str">
        <f>INDEX(DS_GIAOVIEN!B:B,MATCH(COI_CHAM_HK1!B75,DS_GIAOVIEN!B:B,0),1)</f>
        <v>Trần Thanh Dũng</v>
      </c>
    </row>
    <row r="76" spans="1:4" x14ac:dyDescent="0.25">
      <c r="A76" s="20">
        <v>4</v>
      </c>
      <c r="B76" s="7" t="s">
        <v>68</v>
      </c>
      <c r="C76" s="22">
        <v>89.499999999999986</v>
      </c>
      <c r="D76" s="7" t="str">
        <f>INDEX(DS_GIAOVIEN!B:B,MATCH(COI_CHAM_HK1!B76,DS_GIAOVIEN!B:B,0),1)</f>
        <v>Trần Văn Tường</v>
      </c>
    </row>
    <row r="77" spans="1:4" x14ac:dyDescent="0.25">
      <c r="A77" s="20">
        <v>4</v>
      </c>
      <c r="B77" s="7" t="s">
        <v>5</v>
      </c>
      <c r="C77" s="22">
        <v>62.599999999999994</v>
      </c>
      <c r="D77" s="7" t="str">
        <f>INDEX(DS_GIAOVIEN!B:B,MATCH(COI_CHAM_HK1!B77,DS_GIAOVIEN!B:B,0),1)</f>
        <v>Vũ Văn Quang</v>
      </c>
    </row>
    <row r="78" spans="1:4" x14ac:dyDescent="0.25">
      <c r="A78" s="20">
        <v>4</v>
      </c>
      <c r="B78" s="7" t="s">
        <v>41</v>
      </c>
      <c r="C78" s="22">
        <v>35.4</v>
      </c>
      <c r="D78" s="7" t="str">
        <f>INDEX(DS_GIAOVIEN!B:B,MATCH(COI_CHAM_HK1!B78,DS_GIAOVIEN!B:B,0),1)</f>
        <v>Chu Văn Cung</v>
      </c>
    </row>
    <row r="79" spans="1:4" x14ac:dyDescent="0.25">
      <c r="A79" s="20">
        <v>4</v>
      </c>
      <c r="B79" s="7" t="s">
        <v>153</v>
      </c>
      <c r="C79" s="22">
        <v>52.973333333333329</v>
      </c>
      <c r="D79" s="7" t="str">
        <f>INDEX(DS_GIAOVIEN!B:B,MATCH(COI_CHAM_HK1!B79,DS_GIAOVIEN!B:B,0),1)</f>
        <v>Ngô Quang Vinh</v>
      </c>
    </row>
    <row r="80" spans="1:4" x14ac:dyDescent="0.25">
      <c r="A80" s="20">
        <v>4</v>
      </c>
      <c r="B80" s="7" t="s">
        <v>154</v>
      </c>
      <c r="C80" s="22">
        <v>53.88000000000001</v>
      </c>
      <c r="D80" s="7" t="str">
        <f>INDEX(DS_GIAOVIEN!B:B,MATCH(COI_CHAM_HK1!B80,DS_GIAOVIEN!B:B,0),1)</f>
        <v>Nguyễn Trung Hiếu</v>
      </c>
    </row>
    <row r="81" spans="1:4" x14ac:dyDescent="0.25">
      <c r="A81" s="20">
        <v>4</v>
      </c>
      <c r="B81" s="7" t="s">
        <v>69</v>
      </c>
      <c r="C81" s="22">
        <v>73.7</v>
      </c>
      <c r="D81" s="7" t="str">
        <f>INDEX(DS_GIAOVIEN!B:B,MATCH(COI_CHAM_HK1!B81,DS_GIAOVIEN!B:B,0),1)</f>
        <v>Ngô Xuân Thành</v>
      </c>
    </row>
    <row r="82" spans="1:4" x14ac:dyDescent="0.25">
      <c r="A82" s="20">
        <v>4</v>
      </c>
      <c r="B82" s="7" t="s">
        <v>73</v>
      </c>
      <c r="C82" s="22">
        <v>66.699999999999989</v>
      </c>
      <c r="D82" s="7" t="str">
        <f>INDEX(DS_GIAOVIEN!B:B,MATCH(COI_CHAM_HK1!B82,DS_GIAOVIEN!B:B,0),1)</f>
        <v>Y Louit Niê</v>
      </c>
    </row>
    <row r="83" spans="1:4" x14ac:dyDescent="0.25">
      <c r="A83" s="20">
        <v>4</v>
      </c>
      <c r="B83" s="7" t="s">
        <v>4</v>
      </c>
      <c r="C83" s="22">
        <v>30.153333333333336</v>
      </c>
      <c r="D83" s="7" t="str">
        <f>INDEX(DS_GIAOVIEN!B:B,MATCH(COI_CHAM_HK1!B83,DS_GIAOVIEN!B:B,0),1)</f>
        <v>Phan Văn Kỳ</v>
      </c>
    </row>
    <row r="84" spans="1:4" x14ac:dyDescent="0.25">
      <c r="A84" s="20">
        <v>4</v>
      </c>
      <c r="B84" s="7" t="s">
        <v>122</v>
      </c>
      <c r="C84" s="22">
        <v>35.299999999999997</v>
      </c>
      <c r="D84" s="7" t="str">
        <f>INDEX(DS_GIAOVIEN!B:B,MATCH(COI_CHAM_HK1!B84,DS_GIAOVIEN!B:B,0),1)</f>
        <v>Nguyễn Thành Chung</v>
      </c>
    </row>
    <row r="85" spans="1:4" x14ac:dyDescent="0.25">
      <c r="A85" s="20">
        <v>4</v>
      </c>
      <c r="B85" s="7" t="s">
        <v>123</v>
      </c>
      <c r="C85" s="22">
        <v>43.2</v>
      </c>
      <c r="D85" s="7" t="str">
        <f>INDEX(DS_GIAOVIEN!B:B,MATCH(COI_CHAM_HK1!B85,DS_GIAOVIEN!B:B,0),1)</f>
        <v>Y Si la Knul</v>
      </c>
    </row>
    <row r="86" spans="1:4" x14ac:dyDescent="0.25">
      <c r="A86" s="20">
        <v>4</v>
      </c>
      <c r="B86" s="7" t="s">
        <v>11</v>
      </c>
      <c r="C86" s="22">
        <v>52.5</v>
      </c>
      <c r="D86" s="7" t="str">
        <f>INDEX(DS_GIAOVIEN!B:B,MATCH(COI_CHAM_HK1!B86,DS_GIAOVIEN!B:B,0),1)</f>
        <v>Đặng Xuân Hạnh</v>
      </c>
    </row>
    <row r="87" spans="1:4" x14ac:dyDescent="0.25">
      <c r="A87" s="20">
        <v>4</v>
      </c>
      <c r="B87" s="7" t="s">
        <v>121</v>
      </c>
      <c r="C87" s="22">
        <v>45.586666666666673</v>
      </c>
      <c r="D87" s="7" t="str">
        <f>INDEX(DS_GIAOVIEN!B:B,MATCH(COI_CHAM_HK1!B87,DS_GIAOVIEN!B:B,0),1)</f>
        <v>Nguyễn Ngọc Tuấn</v>
      </c>
    </row>
    <row r="88" spans="1:4" x14ac:dyDescent="0.25">
      <c r="A88" s="20">
        <v>4</v>
      </c>
      <c r="B88" s="7" t="s">
        <v>120</v>
      </c>
      <c r="C88" s="22">
        <v>45.300000000000004</v>
      </c>
      <c r="D88" s="7" t="str">
        <f>INDEX(DS_GIAOVIEN!B:B,MATCH(COI_CHAM_HK1!B88,DS_GIAOVIEN!B:B,0),1)</f>
        <v>Trần Thanh Hải</v>
      </c>
    </row>
    <row r="89" spans="1:4" x14ac:dyDescent="0.25">
      <c r="A89" s="20">
        <v>4</v>
      </c>
      <c r="B89" s="7" t="s">
        <v>155</v>
      </c>
      <c r="C89" s="22">
        <v>87.2</v>
      </c>
      <c r="D89" s="7" t="str">
        <f>INDEX(DS_GIAOVIEN!B:B,MATCH(COI_CHAM_HK1!B89,DS_GIAOVIEN!B:B,0),1)</f>
        <v>Nguyễn Hữu Nghĩa</v>
      </c>
    </row>
    <row r="90" spans="1:4" x14ac:dyDescent="0.25">
      <c r="A90" s="20">
        <v>4</v>
      </c>
      <c r="B90" s="7" t="s">
        <v>211</v>
      </c>
      <c r="C90" s="22">
        <v>53.100000000000009</v>
      </c>
      <c r="D90" s="7" t="str">
        <f>INDEX(DS_GIAOVIEN!B:B,MATCH(COI_CHAM_HK1!B90,DS_GIAOVIEN!B:B,0),1)</f>
        <v>Nguyễn Tiến Mạnh</v>
      </c>
    </row>
    <row r="91" spans="1:4" x14ac:dyDescent="0.25">
      <c r="A91" s="20">
        <v>4</v>
      </c>
      <c r="B91" s="7" t="s">
        <v>156</v>
      </c>
      <c r="C91" s="22">
        <v>62.1</v>
      </c>
      <c r="D91" s="7" t="str">
        <f>INDEX(DS_GIAOVIEN!B:B,MATCH(COI_CHAM_HK1!B91,DS_GIAOVIEN!B:B,0),1)</f>
        <v>Trần Văn Hương</v>
      </c>
    </row>
    <row r="92" spans="1:4" x14ac:dyDescent="0.25">
      <c r="A92" s="20">
        <v>4</v>
      </c>
      <c r="B92" s="7" t="s">
        <v>212</v>
      </c>
      <c r="C92" s="22">
        <v>35.1</v>
      </c>
      <c r="D92" s="7" t="str">
        <f>INDEX(DS_GIAOVIEN!B:B,MATCH(COI_CHAM_HK1!B92,DS_GIAOVIEN!B:B,0),1)</f>
        <v>Võ Anh Vũ</v>
      </c>
    </row>
    <row r="93" spans="1:4" x14ac:dyDescent="0.25">
      <c r="A93" s="2">
        <v>4</v>
      </c>
      <c r="B93" s="5" t="s">
        <v>157</v>
      </c>
      <c r="C93" s="3">
        <v>37.6</v>
      </c>
      <c r="D93" s="5" t="e">
        <f>INDEX(DS_GIAOVIEN!B:B,MATCH(COI_CHAM_HK1!B93,DS_GIAOVIEN!B:B,0),1)</f>
        <v>#N/A</v>
      </c>
    </row>
    <row r="94" spans="1:4" x14ac:dyDescent="0.25">
      <c r="A94" s="2">
        <v>4</v>
      </c>
      <c r="B94" s="5" t="s">
        <v>158</v>
      </c>
      <c r="C94" s="3">
        <v>39.4</v>
      </c>
      <c r="D94" s="5" t="e">
        <f>INDEX(DS_GIAOVIEN!B:B,MATCH(COI_CHAM_HK1!B94,DS_GIAOVIEN!B:B,0),1)</f>
        <v>#N/A</v>
      </c>
    </row>
    <row r="95" spans="1:4" x14ac:dyDescent="0.25">
      <c r="A95" s="20">
        <v>4</v>
      </c>
      <c r="B95" s="7" t="s">
        <v>171</v>
      </c>
      <c r="C95" s="22">
        <v>9.8000000000000007</v>
      </c>
      <c r="D95" s="7" t="str">
        <f>INDEX(DS_GIAOVIEN!B:B,MATCH(COI_CHAM_HK1!B95,DS_GIAOVIEN!B:B,0),1)</f>
        <v>Nguyễn Đình Quý</v>
      </c>
    </row>
    <row r="96" spans="1:4" x14ac:dyDescent="0.25">
      <c r="A96" s="20">
        <v>4</v>
      </c>
      <c r="B96" s="7" t="s">
        <v>245</v>
      </c>
      <c r="C96" s="22">
        <v>19.899999999999999</v>
      </c>
      <c r="D96" s="7" t="str">
        <f>INDEX(DS_GIAOVIEN!B:B,MATCH(COI_CHAM_HK1!B96,DS_GIAOVIEN!B:B,0),1)</f>
        <v>Vũ Thái Phương</v>
      </c>
    </row>
    <row r="97" spans="1:4" x14ac:dyDescent="0.25">
      <c r="A97" s="20">
        <v>5</v>
      </c>
      <c r="B97" s="7" t="s">
        <v>82</v>
      </c>
      <c r="C97" s="22">
        <v>36.799999999999997</v>
      </c>
      <c r="D97" s="7" t="str">
        <f>INDEX(DS_GIAOVIEN!B:B,MATCH(COI_CHAM_HK1!B97,DS_GIAOVIEN!B:B,0),1)</f>
        <v>Huỳnh Ngọc Tùng</v>
      </c>
    </row>
    <row r="98" spans="1:4" x14ac:dyDescent="0.25">
      <c r="A98" s="20">
        <v>5</v>
      </c>
      <c r="B98" s="7" t="s">
        <v>161</v>
      </c>
      <c r="C98" s="22">
        <v>15.600000000000001</v>
      </c>
      <c r="D98" s="7" t="str">
        <f>INDEX(DS_GIAOVIEN!B:B,MATCH(COI_CHAM_HK1!B98,DS_GIAOVIEN!B:B,0),1)</f>
        <v>Phạm Minh Tuấn</v>
      </c>
    </row>
    <row r="99" spans="1:4" x14ac:dyDescent="0.25">
      <c r="A99" s="20">
        <v>5</v>
      </c>
      <c r="B99" s="7" t="s">
        <v>66</v>
      </c>
      <c r="C99" s="22">
        <v>47.3</v>
      </c>
      <c r="D99" s="7" t="str">
        <f>INDEX(DS_GIAOVIEN!B:B,MATCH(COI_CHAM_HK1!B99,DS_GIAOVIEN!B:B,0),1)</f>
        <v>Nguyễn Anh Duy</v>
      </c>
    </row>
    <row r="100" spans="1:4" x14ac:dyDescent="0.25">
      <c r="A100" s="20">
        <v>5</v>
      </c>
      <c r="B100" s="7" t="s">
        <v>58</v>
      </c>
      <c r="C100" s="22">
        <v>24.9</v>
      </c>
      <c r="D100" s="7" t="str">
        <f>INDEX(DS_GIAOVIEN!B:B,MATCH(COI_CHAM_HK1!B100,DS_GIAOVIEN!B:B,0),1)</f>
        <v>Phạm Xuân Vinh</v>
      </c>
    </row>
    <row r="101" spans="1:4" x14ac:dyDescent="0.25">
      <c r="A101" s="20">
        <v>5</v>
      </c>
      <c r="B101" s="7" t="s">
        <v>36</v>
      </c>
      <c r="C101" s="22">
        <v>31.200000000000003</v>
      </c>
      <c r="D101" s="7" t="str">
        <f>INDEX(DS_GIAOVIEN!B:B,MATCH(COI_CHAM_HK1!B101,DS_GIAOVIEN!B:B,0),1)</f>
        <v>Hồ Đức Nhân</v>
      </c>
    </row>
    <row r="102" spans="1:4" x14ac:dyDescent="0.25">
      <c r="A102" s="20">
        <v>5</v>
      </c>
      <c r="B102" s="7" t="s">
        <v>51</v>
      </c>
      <c r="C102" s="22">
        <v>51.6</v>
      </c>
      <c r="D102" s="7" t="str">
        <f>INDEX(DS_GIAOVIEN!B:B,MATCH(COI_CHAM_HK1!B102,DS_GIAOVIEN!B:B,0),1)</f>
        <v>Nguyễn Viết Nông</v>
      </c>
    </row>
    <row r="103" spans="1:4" x14ac:dyDescent="0.25">
      <c r="A103" s="20">
        <v>5</v>
      </c>
      <c r="B103" s="7" t="s">
        <v>162</v>
      </c>
      <c r="C103" s="22">
        <v>16.2</v>
      </c>
      <c r="D103" s="7" t="str">
        <f>INDEX(DS_GIAOVIEN!B:B,MATCH(COI_CHAM_HK1!B103,DS_GIAOVIEN!B:B,0),1)</f>
        <v>Cao Tiến Nam</v>
      </c>
    </row>
    <row r="104" spans="1:4" x14ac:dyDescent="0.25">
      <c r="A104" s="20">
        <v>5</v>
      </c>
      <c r="B104" s="7" t="s">
        <v>163</v>
      </c>
      <c r="C104" s="22">
        <v>34.300000000000004</v>
      </c>
      <c r="D104" s="7" t="str">
        <f>INDEX(DS_GIAOVIEN!B:B,MATCH(COI_CHAM_HK1!B104,DS_GIAOVIEN!B:B,0),1)</f>
        <v>Chu Văn Đức</v>
      </c>
    </row>
    <row r="105" spans="1:4" x14ac:dyDescent="0.25">
      <c r="A105" s="20">
        <v>5</v>
      </c>
      <c r="B105" s="7" t="s">
        <v>35</v>
      </c>
      <c r="C105" s="22">
        <v>28.5</v>
      </c>
      <c r="D105" s="7" t="str">
        <f>INDEX(DS_GIAOVIEN!B:B,MATCH(COI_CHAM_HK1!B105,DS_GIAOVIEN!B:B,0),1)</f>
        <v>Phạm Quốc Lập</v>
      </c>
    </row>
    <row r="106" spans="1:4" x14ac:dyDescent="0.25">
      <c r="A106" s="20">
        <v>5</v>
      </c>
      <c r="B106" s="7" t="s">
        <v>71</v>
      </c>
      <c r="C106" s="22">
        <v>31</v>
      </c>
      <c r="D106" s="7" t="str">
        <f>INDEX(DS_GIAOVIEN!B:B,MATCH(COI_CHAM_HK1!B106,DS_GIAOVIEN!B:B,0),1)</f>
        <v>Dương Hồng Phước</v>
      </c>
    </row>
    <row r="107" spans="1:4" x14ac:dyDescent="0.25">
      <c r="A107" s="20">
        <v>5</v>
      </c>
      <c r="B107" s="7" t="s">
        <v>53</v>
      </c>
      <c r="C107" s="22">
        <v>36.1</v>
      </c>
      <c r="D107" s="7" t="str">
        <f>INDEX(DS_GIAOVIEN!B:B,MATCH(COI_CHAM_HK1!B107,DS_GIAOVIEN!B:B,0),1)</f>
        <v>Nguyễn Thị Hải</v>
      </c>
    </row>
    <row r="108" spans="1:4" x14ac:dyDescent="0.25">
      <c r="A108" s="20">
        <v>5</v>
      </c>
      <c r="B108" s="7" t="s">
        <v>38</v>
      </c>
      <c r="C108" s="22">
        <v>47.6</v>
      </c>
      <c r="D108" s="7" t="str">
        <f>INDEX(DS_GIAOVIEN!B:B,MATCH(COI_CHAM_HK1!B108,DS_GIAOVIEN!B:B,0),1)</f>
        <v>Hồ Văn Thông</v>
      </c>
    </row>
    <row r="109" spans="1:4" x14ac:dyDescent="0.25">
      <c r="A109" s="20">
        <v>5</v>
      </c>
      <c r="B109" s="7" t="s">
        <v>55</v>
      </c>
      <c r="C109" s="22">
        <v>38.800000000000004</v>
      </c>
      <c r="D109" s="7" t="str">
        <f>INDEX(DS_GIAOVIEN!B:B,MATCH(COI_CHAM_HK1!B109,DS_GIAOVIEN!B:B,0),1)</f>
        <v>Nguyễn Văn Công</v>
      </c>
    </row>
    <row r="110" spans="1:4" x14ac:dyDescent="0.25">
      <c r="A110" s="20">
        <v>5</v>
      </c>
      <c r="B110" s="7" t="s">
        <v>164</v>
      </c>
      <c r="C110" s="22">
        <v>56.400000000000006</v>
      </c>
      <c r="D110" s="7" t="str">
        <f>INDEX(DS_GIAOVIEN!B:B,MATCH(COI_CHAM_HK1!B110,DS_GIAOVIEN!B:B,0),1)</f>
        <v>Đinh Thị Yến</v>
      </c>
    </row>
    <row r="111" spans="1:4" x14ac:dyDescent="0.25">
      <c r="A111" s="20">
        <v>5</v>
      </c>
      <c r="B111" s="7" t="s">
        <v>52</v>
      </c>
      <c r="C111" s="22">
        <v>71.500000000000014</v>
      </c>
      <c r="D111" s="7" t="str">
        <f>INDEX(DS_GIAOVIEN!B:B,MATCH(COI_CHAM_HK1!B111,DS_GIAOVIEN!B:B,0),1)</f>
        <v>Phan Tấn Đạt</v>
      </c>
    </row>
    <row r="112" spans="1:4" x14ac:dyDescent="0.25">
      <c r="A112" s="20">
        <v>5</v>
      </c>
      <c r="B112" s="7" t="s">
        <v>43</v>
      </c>
      <c r="C112" s="22">
        <v>12.600000000000001</v>
      </c>
      <c r="D112" s="7" t="str">
        <f>INDEX(DS_GIAOVIEN!B:B,MATCH(COI_CHAM_HK1!B112,DS_GIAOVIEN!B:B,0),1)</f>
        <v>Trần Văn Nhàn</v>
      </c>
    </row>
    <row r="113" spans="1:4" x14ac:dyDescent="0.25">
      <c r="A113" s="20">
        <v>5</v>
      </c>
      <c r="B113" s="7" t="s">
        <v>42</v>
      </c>
      <c r="C113" s="22">
        <v>25.1</v>
      </c>
      <c r="D113" s="7" t="str">
        <f>INDEX(DS_GIAOVIEN!B:B,MATCH(COI_CHAM_HK1!B113,DS_GIAOVIEN!B:B,0),1)</f>
        <v>Lê Thị Minh Thùy</v>
      </c>
    </row>
    <row r="114" spans="1:4" x14ac:dyDescent="0.25">
      <c r="A114" s="20">
        <v>5</v>
      </c>
      <c r="B114" s="7" t="s">
        <v>54</v>
      </c>
      <c r="C114" s="22">
        <v>18.599999999999998</v>
      </c>
      <c r="D114" s="7" t="str">
        <f>INDEX(DS_GIAOVIEN!B:B,MATCH(COI_CHAM_HK1!B114,DS_GIAOVIEN!B:B,0),1)</f>
        <v>La Văn Nam</v>
      </c>
    </row>
    <row r="115" spans="1:4" x14ac:dyDescent="0.25">
      <c r="A115" s="20">
        <v>5</v>
      </c>
      <c r="B115" s="7" t="s">
        <v>74</v>
      </c>
      <c r="C115" s="22">
        <v>15.2</v>
      </c>
      <c r="D115" s="7" t="str">
        <f>INDEX(DS_GIAOVIEN!B:B,MATCH(COI_CHAM_HK1!B115,DS_GIAOVIEN!B:B,0),1)</f>
        <v>Nguyễn Anh Vinh</v>
      </c>
    </row>
    <row r="116" spans="1:4" x14ac:dyDescent="0.25">
      <c r="A116" s="20">
        <v>5</v>
      </c>
      <c r="B116" s="7" t="s">
        <v>165</v>
      </c>
      <c r="C116" s="22">
        <v>35.500000000000007</v>
      </c>
      <c r="D116" s="7" t="str">
        <f>INDEX(DS_GIAOVIEN!B:B,MATCH(COI_CHAM_HK1!B116,DS_GIAOVIEN!B:B,0),1)</f>
        <v>Nghiêm Thị Phượng</v>
      </c>
    </row>
    <row r="117" spans="1:4" x14ac:dyDescent="0.25">
      <c r="A117" s="20">
        <v>5</v>
      </c>
      <c r="B117" s="7" t="s">
        <v>65</v>
      </c>
      <c r="C117" s="22">
        <v>56.8</v>
      </c>
      <c r="D117" s="7" t="str">
        <f>INDEX(DS_GIAOVIEN!B:B,MATCH(COI_CHAM_HK1!B117,DS_GIAOVIEN!B:B,0),1)</f>
        <v>Võ Thị Cẩm Thơ</v>
      </c>
    </row>
    <row r="118" spans="1:4" x14ac:dyDescent="0.25">
      <c r="A118" s="20">
        <v>5</v>
      </c>
      <c r="B118" s="7" t="s">
        <v>101</v>
      </c>
      <c r="C118" s="22">
        <v>59.8</v>
      </c>
      <c r="D118" s="7" t="str">
        <f>INDEX(DS_GIAOVIEN!B:B,MATCH(COI_CHAM_HK1!B118,DS_GIAOVIEN!B:B,0),1)</f>
        <v>Cao Xuân Cường</v>
      </c>
    </row>
    <row r="119" spans="1:4" x14ac:dyDescent="0.25">
      <c r="A119" s="20">
        <v>5</v>
      </c>
      <c r="B119" s="7" t="s">
        <v>99</v>
      </c>
      <c r="C119" s="22">
        <v>33.099999999999994</v>
      </c>
      <c r="D119" s="7" t="str">
        <f>INDEX(DS_GIAOVIEN!B:B,MATCH(COI_CHAM_HK1!B119,DS_GIAOVIEN!B:B,0),1)</f>
        <v>Phạm Văn Nguyên</v>
      </c>
    </row>
    <row r="120" spans="1:4" x14ac:dyDescent="0.25">
      <c r="A120" s="20">
        <v>5</v>
      </c>
      <c r="B120" s="7" t="s">
        <v>56</v>
      </c>
      <c r="C120" s="22">
        <v>39.1</v>
      </c>
      <c r="D120" s="7" t="str">
        <f>INDEX(DS_GIAOVIEN!B:B,MATCH(COI_CHAM_HK1!B120,DS_GIAOVIEN!B:B,0),1)</f>
        <v>Nguyễn Xuân Nguyên</v>
      </c>
    </row>
    <row r="121" spans="1:4" x14ac:dyDescent="0.25">
      <c r="A121" s="20">
        <v>5</v>
      </c>
      <c r="B121" s="7" t="s">
        <v>100</v>
      </c>
      <c r="C121" s="22">
        <v>17.100000000000001</v>
      </c>
      <c r="D121" s="7" t="str">
        <f>INDEX(DS_GIAOVIEN!B:B,MATCH(COI_CHAM_HK1!B121,DS_GIAOVIEN!B:B,0),1)</f>
        <v>Trần Ngọc Sơn Hùng</v>
      </c>
    </row>
    <row r="122" spans="1:4" x14ac:dyDescent="0.25">
      <c r="A122" s="20">
        <v>5</v>
      </c>
      <c r="B122" s="7" t="s">
        <v>57</v>
      </c>
      <c r="C122" s="22">
        <v>39.5</v>
      </c>
      <c r="D122" s="7" t="str">
        <f>INDEX(DS_GIAOVIEN!B:B,MATCH(COI_CHAM_HK1!B122,DS_GIAOVIEN!B:B,0),1)</f>
        <v>Nguyễn Văn Chính</v>
      </c>
    </row>
    <row r="123" spans="1:4" x14ac:dyDescent="0.25">
      <c r="A123" s="20">
        <v>5</v>
      </c>
      <c r="B123" s="7" t="s">
        <v>37</v>
      </c>
      <c r="C123" s="22">
        <v>32.6</v>
      </c>
      <c r="D123" s="7" t="str">
        <f>INDEX(DS_GIAOVIEN!B:B,MATCH(COI_CHAM_HK1!B123,DS_GIAOVIEN!B:B,0),1)</f>
        <v>Đào Minh Thủy</v>
      </c>
    </row>
    <row r="124" spans="1:4" x14ac:dyDescent="0.25">
      <c r="A124" s="20">
        <v>5</v>
      </c>
      <c r="B124" s="7" t="s">
        <v>118</v>
      </c>
      <c r="C124" s="22">
        <v>49</v>
      </c>
      <c r="D124" s="7" t="str">
        <f>INDEX(DS_GIAOVIEN!B:B,MATCH(COI_CHAM_HK1!B124,DS_GIAOVIEN!B:B,0),1)</f>
        <v>Trương Võ Thành</v>
      </c>
    </row>
    <row r="125" spans="1:4" x14ac:dyDescent="0.25">
      <c r="A125" s="20">
        <v>5</v>
      </c>
      <c r="B125" s="7" t="s">
        <v>251</v>
      </c>
      <c r="C125" s="22">
        <v>18</v>
      </c>
      <c r="D125" s="7" t="str">
        <f>INDEX(DS_GIAOVIEN!B:B,MATCH(COI_CHAM_HK1!B125,DS_GIAOVIEN!B:B,0),1)</f>
        <v>Nguyễn Hữu Khánh</v>
      </c>
    </row>
    <row r="126" spans="1:4" x14ac:dyDescent="0.25">
      <c r="A126" s="20">
        <v>5</v>
      </c>
      <c r="B126" s="7" t="s">
        <v>167</v>
      </c>
      <c r="C126" s="22">
        <v>9.1000000000000014</v>
      </c>
      <c r="D126" s="7" t="str">
        <f>INDEX(DS_GIAOVIEN!B:B,MATCH(COI_CHAM_HK1!B126,DS_GIAOVIEN!B:B,0),1)</f>
        <v>Nguyễn Hồng Quân</v>
      </c>
    </row>
    <row r="127" spans="1:4" x14ac:dyDescent="0.25">
      <c r="A127" s="20">
        <v>5</v>
      </c>
      <c r="B127" s="7" t="s">
        <v>252</v>
      </c>
      <c r="C127" s="22">
        <v>2.8</v>
      </c>
      <c r="D127" s="7" t="str">
        <f>INDEX(DS_GIAOVIEN!B:B,MATCH(COI_CHAM_HK1!B127,DS_GIAOVIEN!B:B,0),1)</f>
        <v>Nguyễn Phương Nhâm</v>
      </c>
    </row>
    <row r="128" spans="1:4" x14ac:dyDescent="0.25">
      <c r="A128" s="20">
        <v>6</v>
      </c>
      <c r="B128" s="7" t="s">
        <v>19</v>
      </c>
      <c r="C128" s="22">
        <v>36.4</v>
      </c>
      <c r="D128" s="7" t="str">
        <f>INDEX(DS_GIAOVIEN!B:B,MATCH(COI_CHAM_HK1!B128,DS_GIAOVIEN!B:B,0),1)</f>
        <v>Đào Xuân Quỳnh</v>
      </c>
    </row>
    <row r="129" spans="1:4" x14ac:dyDescent="0.25">
      <c r="A129" s="20">
        <v>6</v>
      </c>
      <c r="B129" s="7" t="s">
        <v>7</v>
      </c>
      <c r="C129" s="22">
        <v>32.1</v>
      </c>
      <c r="D129" s="7" t="str">
        <f>INDEX(DS_GIAOVIEN!B:B,MATCH(COI_CHAM_HK1!B129,DS_GIAOVIEN!B:B,0),1)</f>
        <v>Lê Ngọc Trung</v>
      </c>
    </row>
    <row r="130" spans="1:4" x14ac:dyDescent="0.25">
      <c r="A130" s="20">
        <v>6</v>
      </c>
      <c r="B130" s="7" t="s">
        <v>8</v>
      </c>
      <c r="C130" s="22">
        <v>25.9</v>
      </c>
      <c r="D130" s="7" t="str">
        <f>INDEX(DS_GIAOVIEN!B:B,MATCH(COI_CHAM_HK1!B130,DS_GIAOVIEN!B:B,0),1)</f>
        <v>Lâm Đức Sơn</v>
      </c>
    </row>
    <row r="131" spans="1:4" x14ac:dyDescent="0.25">
      <c r="A131" s="20">
        <v>6</v>
      </c>
      <c r="B131" s="7" t="s">
        <v>104</v>
      </c>
      <c r="C131" s="22">
        <v>53.199999999999996</v>
      </c>
      <c r="D131" s="7" t="str">
        <f>INDEX(DS_GIAOVIEN!B:B,MATCH(COI_CHAM_HK1!B131,DS_GIAOVIEN!B:B,0),1)</f>
        <v>Lê Khánh Toàn</v>
      </c>
    </row>
    <row r="132" spans="1:4" x14ac:dyDescent="0.25">
      <c r="A132" s="20">
        <v>6</v>
      </c>
      <c r="B132" s="7" t="s">
        <v>20</v>
      </c>
      <c r="C132" s="22">
        <v>26</v>
      </c>
      <c r="D132" s="7" t="str">
        <f>INDEX(DS_GIAOVIEN!B:B,MATCH(COI_CHAM_HK1!B132,DS_GIAOVIEN!B:B,0),1)</f>
        <v>Trương Minh Trí</v>
      </c>
    </row>
    <row r="133" spans="1:4" x14ac:dyDescent="0.25">
      <c r="A133" s="20">
        <v>6</v>
      </c>
      <c r="B133" s="7" t="s">
        <v>21</v>
      </c>
      <c r="C133" s="22">
        <v>35.6</v>
      </c>
      <c r="D133" s="7" t="str">
        <f>INDEX(DS_GIAOVIEN!B:B,MATCH(COI_CHAM_HK1!B133,DS_GIAOVIEN!B:B,0),1)</f>
        <v>Nguyễn Xuân Vỹ</v>
      </c>
    </row>
    <row r="134" spans="1:4" x14ac:dyDescent="0.25">
      <c r="A134" s="20">
        <v>6</v>
      </c>
      <c r="B134" s="7" t="s">
        <v>13</v>
      </c>
      <c r="C134" s="22">
        <v>59.5</v>
      </c>
      <c r="D134" s="7" t="str">
        <f>INDEX(DS_GIAOVIEN!B:B,MATCH(COI_CHAM_HK1!B134,DS_GIAOVIEN!B:B,0),1)</f>
        <v>Nguyễn Thị Thu Hà</v>
      </c>
    </row>
    <row r="135" spans="1:4" x14ac:dyDescent="0.25">
      <c r="A135" s="20">
        <v>6</v>
      </c>
      <c r="B135" s="7" t="s">
        <v>107</v>
      </c>
      <c r="C135" s="22">
        <v>63.5</v>
      </c>
      <c r="D135" s="7" t="str">
        <f>INDEX(DS_GIAOVIEN!B:B,MATCH(COI_CHAM_HK1!B135,DS_GIAOVIEN!B:B,0),1)</f>
        <v>Nguyễn Thị Lạc Việt</v>
      </c>
    </row>
    <row r="136" spans="1:4" x14ac:dyDescent="0.25">
      <c r="A136" s="20">
        <v>6</v>
      </c>
      <c r="B136" s="7" t="s">
        <v>108</v>
      </c>
      <c r="C136" s="22">
        <v>61.499999999999993</v>
      </c>
      <c r="D136" s="7" t="str">
        <f>INDEX(DS_GIAOVIEN!B:B,MATCH(COI_CHAM_HK1!B136,DS_GIAOVIEN!B:B,0),1)</f>
        <v>Thân Thị Chung</v>
      </c>
    </row>
    <row r="137" spans="1:4" x14ac:dyDescent="0.25">
      <c r="A137" s="20">
        <v>6</v>
      </c>
      <c r="B137" s="7" t="s">
        <v>119</v>
      </c>
      <c r="C137" s="22">
        <v>17.7</v>
      </c>
      <c r="D137" s="7" t="str">
        <f>INDEX(DS_GIAOVIEN!B:B,MATCH(COI_CHAM_HK1!B137,DS_GIAOVIEN!B:B,0),1)</f>
        <v>Nguyễn Thị Bích Ngọc</v>
      </c>
    </row>
    <row r="138" spans="1:4" x14ac:dyDescent="0.25">
      <c r="A138" s="20">
        <v>6</v>
      </c>
      <c r="B138" s="7" t="s">
        <v>27</v>
      </c>
      <c r="C138" s="22">
        <v>16.7</v>
      </c>
      <c r="D138" s="7" t="str">
        <f>INDEX(DS_GIAOVIEN!B:B,MATCH(COI_CHAM_HK1!B138,DS_GIAOVIEN!B:B,0),1)</f>
        <v>Lê Thị Hạnh Phúc</v>
      </c>
    </row>
    <row r="139" spans="1:4" x14ac:dyDescent="0.25">
      <c r="A139" s="20">
        <v>6</v>
      </c>
      <c r="B139" s="7" t="s">
        <v>28</v>
      </c>
      <c r="C139" s="22">
        <v>14.399999999999999</v>
      </c>
      <c r="D139" s="7" t="str">
        <f>INDEX(DS_GIAOVIEN!B:B,MATCH(COI_CHAM_HK1!B139,DS_GIAOVIEN!B:B,0),1)</f>
        <v>Nguyễn Thị Hải Yến</v>
      </c>
    </row>
    <row r="140" spans="1:4" x14ac:dyDescent="0.25">
      <c r="A140" s="20">
        <v>6</v>
      </c>
      <c r="B140" s="7" t="s">
        <v>25</v>
      </c>
      <c r="C140" s="22">
        <v>38.699999999999996</v>
      </c>
      <c r="D140" s="7" t="str">
        <f>INDEX(DS_GIAOVIEN!B:B,MATCH(COI_CHAM_HK1!B140,DS_GIAOVIEN!B:B,0),1)</f>
        <v>Đỗ Thị Quỳnh Anh</v>
      </c>
    </row>
    <row r="141" spans="1:4" x14ac:dyDescent="0.25">
      <c r="A141" s="20">
        <v>6</v>
      </c>
      <c r="B141" s="7" t="s">
        <v>26</v>
      </c>
      <c r="C141" s="22">
        <v>27.299999999999997</v>
      </c>
      <c r="D141" s="7" t="str">
        <f>INDEX(DS_GIAOVIEN!B:B,MATCH(COI_CHAM_HK1!B141,DS_GIAOVIEN!B:B,0),1)</f>
        <v>Y Joen Niê Kdăm</v>
      </c>
    </row>
    <row r="142" spans="1:4" x14ac:dyDescent="0.25">
      <c r="A142" s="20">
        <v>6</v>
      </c>
      <c r="B142" s="7" t="s">
        <v>227</v>
      </c>
      <c r="C142" s="22">
        <v>20.8</v>
      </c>
      <c r="D142" s="7" t="str">
        <f>INDEX(DS_GIAOVIEN!B:B,MATCH(COI_CHAM_HK1!B142,DS_GIAOVIEN!B:B,0),1)</f>
        <v>Lê Thị Thu Hà</v>
      </c>
    </row>
    <row r="143" spans="1:4" x14ac:dyDescent="0.25">
      <c r="A143" s="20">
        <v>6</v>
      </c>
      <c r="B143" s="25" t="s">
        <v>106</v>
      </c>
      <c r="C143" s="22">
        <v>43.6</v>
      </c>
      <c r="D143" s="7" t="str">
        <f>INDEX(DS_GIAOVIEN!B:B,MATCH(COI_CHAM_HK1!B143,DS_GIAOVIEN!B:B,0),1)</f>
        <v>H Chel H' Mok</v>
      </c>
    </row>
    <row r="144" spans="1:4" x14ac:dyDescent="0.25">
      <c r="A144" s="20">
        <v>6</v>
      </c>
      <c r="B144" s="7" t="s">
        <v>23</v>
      </c>
      <c r="C144" s="22">
        <v>38.5</v>
      </c>
      <c r="D144" s="7" t="str">
        <f>INDEX(DS_GIAOVIEN!B:B,MATCH(COI_CHAM_HK1!B144,DS_GIAOVIEN!B:B,0),1)</f>
        <v>Nguyễn Như Trung</v>
      </c>
    </row>
    <row r="145" spans="1:4" x14ac:dyDescent="0.25">
      <c r="A145" s="20">
        <v>6</v>
      </c>
      <c r="B145" s="7" t="s">
        <v>105</v>
      </c>
      <c r="C145" s="22">
        <v>19.8</v>
      </c>
      <c r="D145" s="7" t="str">
        <f>INDEX(DS_GIAOVIEN!B:B,MATCH(COI_CHAM_HK1!B145,DS_GIAOVIEN!B:B,0),1)</f>
        <v>Trịnh Thị Thảo Quyên</v>
      </c>
    </row>
    <row r="146" spans="1:4" x14ac:dyDescent="0.25">
      <c r="A146" s="20">
        <v>6</v>
      </c>
      <c r="B146" s="7" t="s">
        <v>102</v>
      </c>
      <c r="C146" s="22">
        <v>21.4</v>
      </c>
      <c r="D146" s="7" t="str">
        <f>INDEX(DS_GIAOVIEN!B:B,MATCH(COI_CHAM_HK1!B146,DS_GIAOVIEN!B:B,0),1)</f>
        <v>Đặng Văn Dung</v>
      </c>
    </row>
    <row r="147" spans="1:4" x14ac:dyDescent="0.25">
      <c r="A147" s="20">
        <v>6</v>
      </c>
      <c r="B147" s="7" t="s">
        <v>103</v>
      </c>
      <c r="C147" s="22">
        <v>17.8</v>
      </c>
      <c r="D147" s="7" t="str">
        <f>INDEX(DS_GIAOVIEN!B:B,MATCH(COI_CHAM_HK1!B147,DS_GIAOVIEN!B:B,0),1)</f>
        <v>Nguyễn Trung Kiên</v>
      </c>
    </row>
    <row r="148" spans="1:4" x14ac:dyDescent="0.25">
      <c r="A148" s="20">
        <v>7</v>
      </c>
      <c r="B148" s="7" t="s">
        <v>117</v>
      </c>
      <c r="C148" s="22">
        <v>43.7</v>
      </c>
      <c r="D148" s="7" t="str">
        <f>INDEX(DS_GIAOVIEN!B:B,MATCH(COI_CHAM_HK1!B148,DS_GIAOVIEN!B:B,0),1)</f>
        <v>Phạm Văn Quang</v>
      </c>
    </row>
    <row r="149" spans="1:4" x14ac:dyDescent="0.25">
      <c r="A149" s="20">
        <v>7</v>
      </c>
      <c r="B149" s="7" t="s">
        <v>168</v>
      </c>
      <c r="C149" s="22">
        <v>33</v>
      </c>
      <c r="D149" s="7" t="str">
        <f>INDEX(DS_GIAOVIEN!B:B,MATCH(COI_CHAM_HK1!B149,DS_GIAOVIEN!B:B,0),1)</f>
        <v>Phan Bằng Thạch</v>
      </c>
    </row>
    <row r="150" spans="1:4" x14ac:dyDescent="0.25">
      <c r="A150" s="20">
        <v>7</v>
      </c>
      <c r="B150" s="7" t="s">
        <v>111</v>
      </c>
      <c r="C150" s="22">
        <v>49.300000000000004</v>
      </c>
      <c r="D150" s="7" t="str">
        <f>INDEX(DS_GIAOVIEN!B:B,MATCH(COI_CHAM_HK1!B150,DS_GIAOVIEN!B:B,0),1)</f>
        <v>Vũ Thị Hoài Thanh</v>
      </c>
    </row>
    <row r="151" spans="1:4" x14ac:dyDescent="0.25">
      <c r="A151" s="20">
        <v>7</v>
      </c>
      <c r="B151" s="7" t="s">
        <v>169</v>
      </c>
      <c r="C151" s="22">
        <v>38.799999999999997</v>
      </c>
      <c r="D151" s="7" t="str">
        <f>INDEX(DS_GIAOVIEN!B:B,MATCH(COI_CHAM_HK1!B151,DS_GIAOVIEN!B:B,0),1)</f>
        <v>Trần Thị Thơ</v>
      </c>
    </row>
    <row r="152" spans="1:4" x14ac:dyDescent="0.25">
      <c r="A152" s="20">
        <v>7</v>
      </c>
      <c r="B152" s="7" t="s">
        <v>89</v>
      </c>
      <c r="C152" s="22">
        <v>47</v>
      </c>
      <c r="D152" s="7" t="str">
        <f>INDEX(DS_GIAOVIEN!B:B,MATCH(COI_CHAM_HK1!B152,DS_GIAOVIEN!B:B,0),1)</f>
        <v>Ngô Thị Mỹ Hạnh</v>
      </c>
    </row>
    <row r="153" spans="1:4" x14ac:dyDescent="0.25">
      <c r="A153" s="20">
        <v>7</v>
      </c>
      <c r="B153" s="7" t="s">
        <v>31</v>
      </c>
      <c r="C153" s="22">
        <v>26.400000000000002</v>
      </c>
      <c r="D153" s="7" t="str">
        <f>INDEX(DS_GIAOVIEN!B:B,MATCH(COI_CHAM_HK1!B153,DS_GIAOVIEN!B:B,0),1)</f>
        <v>Nguyễn Thị Hồng Phương</v>
      </c>
    </row>
    <row r="154" spans="1:4" x14ac:dyDescent="0.25">
      <c r="A154" s="20">
        <v>7</v>
      </c>
      <c r="B154" s="7" t="s">
        <v>109</v>
      </c>
      <c r="C154" s="22">
        <v>16.600000000000001</v>
      </c>
      <c r="D154" s="7" t="str">
        <f>INDEX(DS_GIAOVIEN!B:B,MATCH(COI_CHAM_HK1!B154,DS_GIAOVIEN!B:B,0),1)</f>
        <v>Phạm Tiến Thành</v>
      </c>
    </row>
    <row r="155" spans="1:4" x14ac:dyDescent="0.25">
      <c r="A155" s="20">
        <v>7</v>
      </c>
      <c r="B155" s="7" t="s">
        <v>124</v>
      </c>
      <c r="C155" s="22">
        <v>40</v>
      </c>
      <c r="D155" s="7" t="str">
        <f>INDEX(DS_GIAOVIEN!B:B,MATCH(COI_CHAM_HK1!B155,DS_GIAOVIEN!B:B,0),1)</f>
        <v>H' Diện Niê</v>
      </c>
    </row>
    <row r="156" spans="1:4" x14ac:dyDescent="0.25">
      <c r="A156" s="20">
        <v>7</v>
      </c>
      <c r="B156" s="7" t="s">
        <v>228</v>
      </c>
      <c r="C156" s="22">
        <v>21.700000000000003</v>
      </c>
      <c r="D156" s="7" t="str">
        <f>INDEX(DS_GIAOVIEN!B:B,MATCH(COI_CHAM_HK1!B156,DS_GIAOVIEN!B:B,0),1)</f>
        <v>H' Bai Hmok</v>
      </c>
    </row>
    <row r="157" spans="1:4" x14ac:dyDescent="0.25">
      <c r="A157" s="20">
        <v>7</v>
      </c>
      <c r="B157" s="7" t="s">
        <v>110</v>
      </c>
      <c r="C157" s="22">
        <v>22.5</v>
      </c>
      <c r="D157" s="7" t="str">
        <f>INDEX(DS_GIAOVIEN!B:B,MATCH(COI_CHAM_HK1!B157,DS_GIAOVIEN!B:B,0),1)</f>
        <v>Trần Thị Thu Thúy</v>
      </c>
    </row>
    <row r="158" spans="1:4" x14ac:dyDescent="0.25">
      <c r="A158" s="20">
        <v>7</v>
      </c>
      <c r="B158" s="7" t="s">
        <v>32</v>
      </c>
      <c r="C158" s="22">
        <v>17.600000000000001</v>
      </c>
      <c r="D158" s="7" t="str">
        <f>INDEX(DS_GIAOVIEN!B:B,MATCH(COI_CHAM_HK1!B158,DS_GIAOVIEN!B:B,0),1)</f>
        <v>Trần Ngọc Điệp</v>
      </c>
    </row>
    <row r="159" spans="1:4" x14ac:dyDescent="0.25">
      <c r="A159" s="20">
        <v>7</v>
      </c>
      <c r="B159" s="7" t="s">
        <v>90</v>
      </c>
      <c r="C159" s="22">
        <v>19.299999999999997</v>
      </c>
      <c r="D159" s="7" t="str">
        <f>INDEX(DS_GIAOVIEN!B:B,MATCH(COI_CHAM_HK1!B159,DS_GIAOVIEN!B:B,0),1)</f>
        <v>Cao Nữ Việt Anh</v>
      </c>
    </row>
    <row r="160" spans="1:4" x14ac:dyDescent="0.25">
      <c r="A160" s="20">
        <v>7</v>
      </c>
      <c r="B160" s="7" t="s">
        <v>112</v>
      </c>
      <c r="C160" s="22">
        <v>16.8</v>
      </c>
      <c r="D160" s="7" t="str">
        <f>INDEX(DS_GIAOVIEN!B:B,MATCH(COI_CHAM_HK1!B160,DS_GIAOVIEN!B:B,0),1)</f>
        <v>Phan Thị Loan</v>
      </c>
    </row>
    <row r="161" spans="1:4" x14ac:dyDescent="0.25">
      <c r="A161" s="20">
        <v>7</v>
      </c>
      <c r="B161" s="7" t="s">
        <v>113</v>
      </c>
      <c r="C161" s="22">
        <v>42.4</v>
      </c>
      <c r="D161" s="7" t="str">
        <f>INDEX(DS_GIAOVIEN!B:B,MATCH(COI_CHAM_HK1!B161,DS_GIAOVIEN!B:B,0),1)</f>
        <v>Trịnh Thị Mỹ Hạnh</v>
      </c>
    </row>
    <row r="162" spans="1:4" x14ac:dyDescent="0.25">
      <c r="A162" s="20">
        <v>7</v>
      </c>
      <c r="B162" s="7" t="s">
        <v>93</v>
      </c>
      <c r="C162" s="22">
        <v>40.6</v>
      </c>
      <c r="D162" s="7" t="str">
        <f>INDEX(DS_GIAOVIEN!B:B,MATCH(COI_CHAM_HK1!B162,DS_GIAOVIEN!B:B,0),1)</f>
        <v>Hán Văn Trung</v>
      </c>
    </row>
    <row r="163" spans="1:4" x14ac:dyDescent="0.25">
      <c r="A163" s="20">
        <v>7</v>
      </c>
      <c r="B163" s="7" t="s">
        <v>116</v>
      </c>
      <c r="C163" s="22">
        <v>3.9</v>
      </c>
      <c r="D163" s="7" t="str">
        <f>INDEX(DS_GIAOVIEN!B:B,MATCH(COI_CHAM_HK1!B163,DS_GIAOVIEN!B:B,0),1)</f>
        <v>Nguyễn Thị Phương</v>
      </c>
    </row>
    <row r="164" spans="1:4" x14ac:dyDescent="0.25">
      <c r="A164" s="20">
        <v>8</v>
      </c>
      <c r="B164" s="7" t="s">
        <v>138</v>
      </c>
      <c r="C164" s="22">
        <v>30.200000000000003</v>
      </c>
      <c r="D164" s="7" t="str">
        <f>INDEX(DS_GIAOVIEN!B:B,MATCH(COI_CHAM_HK1!B164,DS_GIAOVIEN!B:B,0),1)</f>
        <v>Nguyễn Thị Luyến</v>
      </c>
    </row>
    <row r="165" spans="1:4" x14ac:dyDescent="0.25">
      <c r="A165" s="20">
        <v>8</v>
      </c>
      <c r="B165" s="7" t="s">
        <v>171</v>
      </c>
      <c r="C165" s="22">
        <v>4.4000000000000004</v>
      </c>
      <c r="D165" s="7" t="str">
        <f>INDEX(DS_GIAOVIEN!B:B,MATCH(COI_CHAM_HK1!B165,DS_GIAOVIEN!B:B,0),1)</f>
        <v>Nguyễn Đình Quý</v>
      </c>
    </row>
    <row r="166" spans="1:4" x14ac:dyDescent="0.25">
      <c r="A166" s="20">
        <v>8</v>
      </c>
      <c r="B166" s="7" t="s">
        <v>3</v>
      </c>
      <c r="C166" s="22">
        <v>38</v>
      </c>
      <c r="D166" s="7" t="str">
        <f>INDEX(DS_GIAOVIEN!B:B,MATCH(COI_CHAM_HK1!B166,DS_GIAOVIEN!B:B,0),1)</f>
        <v>Hồ Viết Thắng</v>
      </c>
    </row>
    <row r="167" spans="1:4" x14ac:dyDescent="0.25">
      <c r="A167" s="20">
        <v>8</v>
      </c>
      <c r="B167" s="7" t="s">
        <v>79</v>
      </c>
      <c r="C167" s="22">
        <v>5</v>
      </c>
      <c r="D167" s="7" t="str">
        <f>INDEX(DS_GIAOVIEN!B:B,MATCH(COI_CHAM_HK1!B167,DS_GIAOVIEN!B:B,0),1)</f>
        <v>Trương Văn Giản</v>
      </c>
    </row>
    <row r="168" spans="1:4" x14ac:dyDescent="0.25">
      <c r="A168" s="20">
        <v>8</v>
      </c>
      <c r="B168" s="7" t="s">
        <v>25</v>
      </c>
      <c r="C168" s="22">
        <v>45</v>
      </c>
      <c r="D168" s="7" t="str">
        <f>INDEX(DS_GIAOVIEN!B:B,MATCH(COI_CHAM_HK1!B168,DS_GIAOVIEN!B:B,0),1)</f>
        <v>Đỗ Thị Quỳnh Anh</v>
      </c>
    </row>
    <row r="169" spans="1:4" x14ac:dyDescent="0.25">
      <c r="A169" s="20">
        <v>8</v>
      </c>
      <c r="B169" s="7" t="s">
        <v>103</v>
      </c>
      <c r="C169" s="22">
        <v>44</v>
      </c>
      <c r="D169" s="7" t="str">
        <f>INDEX(DS_GIAOVIEN!B:B,MATCH(COI_CHAM_HK1!B169,DS_GIAOVIEN!B:B,0),1)</f>
        <v>Nguyễn Trung Kiên</v>
      </c>
    </row>
    <row r="170" spans="1:4" x14ac:dyDescent="0.25">
      <c r="A170" s="20">
        <v>8</v>
      </c>
      <c r="B170" s="7" t="s">
        <v>26</v>
      </c>
      <c r="C170" s="4">
        <v>1</v>
      </c>
      <c r="D170" s="7" t="str">
        <f>INDEX(DS_GIAOVIEN!B:B,MATCH(COI_CHAM_HK1!B170,DS_GIAOVIEN!B:B,0),1)</f>
        <v>Y Joen Niê Kdăm</v>
      </c>
    </row>
    <row r="171" spans="1:4" x14ac:dyDescent="0.25">
      <c r="A171" s="20">
        <v>8</v>
      </c>
      <c r="B171" s="7" t="s">
        <v>102</v>
      </c>
      <c r="C171" s="4">
        <v>1</v>
      </c>
      <c r="D171" s="7" t="str">
        <f>INDEX(DS_GIAOVIEN!B:B,MATCH(COI_CHAM_HK1!B171,DS_GIAOVIEN!B:B,0),1)</f>
        <v>Đặng Văn Dung</v>
      </c>
    </row>
    <row r="172" spans="1:4" x14ac:dyDescent="0.25">
      <c r="A172" s="20">
        <v>8</v>
      </c>
      <c r="B172" s="7" t="s">
        <v>28</v>
      </c>
      <c r="C172" s="4">
        <v>42</v>
      </c>
      <c r="D172" s="7" t="str">
        <f>INDEX(DS_GIAOVIEN!B:B,MATCH(COI_CHAM_HK1!B172,DS_GIAOVIEN!B:B,0),1)</f>
        <v>Nguyễn Thị Hải Yến</v>
      </c>
    </row>
    <row r="173" spans="1:4" x14ac:dyDescent="0.25">
      <c r="A173" s="20">
        <v>8</v>
      </c>
      <c r="B173" s="7" t="s">
        <v>253</v>
      </c>
      <c r="C173" s="4">
        <v>42</v>
      </c>
      <c r="D173" s="7" t="str">
        <f>INDEX(DS_GIAOVIEN!B:B,MATCH(COI_CHAM_HK1!B173,DS_GIAOVIEN!B:B,0),1)</f>
        <v>Lê Thị Hạnh Phúc</v>
      </c>
    </row>
  </sheetData>
  <autoFilter ref="D1:D173" xr:uid="{2BD133A1-190F-4BE4-B9EC-4BDB41C32DD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3457-8DE5-4764-8CEC-55278A3A3641}">
  <dimension ref="A1:D173"/>
  <sheetViews>
    <sheetView workbookViewId="0">
      <selection activeCell="B1" sqref="B1"/>
    </sheetView>
  </sheetViews>
  <sheetFormatPr defaultRowHeight="13.8" x14ac:dyDescent="0.25"/>
  <cols>
    <col min="1" max="1" width="10.19921875" style="15" customWidth="1"/>
    <col min="2" max="2" width="22.3984375" bestFit="1" customWidth="1"/>
    <col min="3" max="3" width="17.296875" style="19" customWidth="1"/>
    <col min="4" max="4" width="22.3984375" bestFit="1" customWidth="1"/>
  </cols>
  <sheetData>
    <row r="1" spans="1:4" ht="25.2" customHeight="1" x14ac:dyDescent="0.25">
      <c r="A1" s="16" t="s">
        <v>172</v>
      </c>
      <c r="B1" s="18" t="s">
        <v>1</v>
      </c>
      <c r="C1" s="17" t="s">
        <v>254</v>
      </c>
      <c r="D1" s="17" t="s">
        <v>250</v>
      </c>
    </row>
    <row r="2" spans="1:4" x14ac:dyDescent="0.25">
      <c r="A2" s="20">
        <v>1</v>
      </c>
      <c r="B2" s="21" t="s">
        <v>125</v>
      </c>
      <c r="C2" s="22">
        <v>32.000000000000007</v>
      </c>
      <c r="D2" s="7" t="str">
        <f>INDEX(DS_GIAOVIEN!B:B,MATCH(COI_CHAM_HK2!B2,DS_GIAOVIEN!B:B,0),1)</f>
        <v>Trần Thị Cẩm Linh</v>
      </c>
    </row>
    <row r="3" spans="1:4" x14ac:dyDescent="0.25">
      <c r="A3" s="20">
        <v>1</v>
      </c>
      <c r="B3" s="21" t="s">
        <v>126</v>
      </c>
      <c r="C3" s="22">
        <v>15.2</v>
      </c>
      <c r="D3" s="7" t="str">
        <f>INDEX(DS_GIAOVIEN!B:B,MATCH(COI_CHAM_HK2!B3,DS_GIAOVIEN!B:B,0),1)</f>
        <v>Huỳnh Thị Ngọc Ánh</v>
      </c>
    </row>
    <row r="4" spans="1:4" x14ac:dyDescent="0.25">
      <c r="A4" s="20">
        <v>1</v>
      </c>
      <c r="B4" s="21" t="s">
        <v>127</v>
      </c>
      <c r="C4" s="22">
        <v>16.400000000000002</v>
      </c>
      <c r="D4" s="7" t="str">
        <f>INDEX(DS_GIAOVIEN!B:B,MATCH(COI_CHAM_HK2!B4,DS_GIAOVIEN!B:B,0),1)</f>
        <v>Ngô Thị Minh Châu</v>
      </c>
    </row>
    <row r="5" spans="1:4" x14ac:dyDescent="0.25">
      <c r="A5" s="20">
        <v>1</v>
      </c>
      <c r="B5" s="21" t="s">
        <v>128</v>
      </c>
      <c r="C5" s="22">
        <v>25.799999999999997</v>
      </c>
      <c r="D5" s="7" t="str">
        <f>INDEX(DS_GIAOVIEN!B:B,MATCH(COI_CHAM_HK2!B5,DS_GIAOVIEN!B:B,0),1)</f>
        <v>Nguyễn Thị Luyên</v>
      </c>
    </row>
    <row r="6" spans="1:4" x14ac:dyDescent="0.25">
      <c r="A6" s="20">
        <v>1</v>
      </c>
      <c r="B6" s="21" t="s">
        <v>129</v>
      </c>
      <c r="C6" s="22">
        <v>20.100000000000001</v>
      </c>
      <c r="D6" s="7" t="str">
        <f>INDEX(DS_GIAOVIEN!B:B,MATCH(COI_CHAM_HK2!B6,DS_GIAOVIEN!B:B,0),1)</f>
        <v>Nguyễn Thị Mai Lan</v>
      </c>
    </row>
    <row r="7" spans="1:4" x14ac:dyDescent="0.25">
      <c r="A7" s="20">
        <v>1</v>
      </c>
      <c r="B7" s="21" t="s">
        <v>223</v>
      </c>
      <c r="C7" s="22">
        <v>18.8</v>
      </c>
      <c r="D7" s="7" t="str">
        <f>INDEX(DS_GIAOVIEN!B:B,MATCH(COI_CHAM_HK2!B7,DS_GIAOVIEN!B:B,0),1)</f>
        <v>Đỗ Thùy Dương</v>
      </c>
    </row>
    <row r="8" spans="1:4" x14ac:dyDescent="0.25">
      <c r="A8" s="20">
        <v>1</v>
      </c>
      <c r="B8" s="21" t="s">
        <v>130</v>
      </c>
      <c r="C8" s="22">
        <v>18.2</v>
      </c>
      <c r="D8" s="7" t="str">
        <f>INDEX(DS_GIAOVIEN!B:B,MATCH(COI_CHAM_HK2!B8,DS_GIAOVIEN!B:B,0),1)</f>
        <v>Y Wel Ênuôl</v>
      </c>
    </row>
    <row r="9" spans="1:4" x14ac:dyDescent="0.25">
      <c r="A9" s="20">
        <v>1</v>
      </c>
      <c r="B9" s="21" t="s">
        <v>2</v>
      </c>
      <c r="C9" s="22">
        <v>12.200000000000001</v>
      </c>
      <c r="D9" s="7" t="str">
        <f>INDEX(DS_GIAOVIEN!B:B,MATCH(COI_CHAM_HK2!B9,DS_GIAOVIEN!B:B,0),1)</f>
        <v>Đinh Trọng Hiếu</v>
      </c>
    </row>
    <row r="10" spans="1:4" x14ac:dyDescent="0.25">
      <c r="A10" s="20">
        <v>1</v>
      </c>
      <c r="B10" s="21" t="s">
        <v>59</v>
      </c>
      <c r="C10" s="22">
        <v>22.099999999999998</v>
      </c>
      <c r="D10" s="7" t="str">
        <f>INDEX(DS_GIAOVIEN!B:B,MATCH(COI_CHAM_HK2!B10,DS_GIAOVIEN!B:B,0),1)</f>
        <v>Nguyễn Văn Độ</v>
      </c>
    </row>
    <row r="11" spans="1:4" x14ac:dyDescent="0.25">
      <c r="A11" s="20">
        <v>1</v>
      </c>
      <c r="B11" s="21" t="s">
        <v>60</v>
      </c>
      <c r="C11" s="22">
        <v>22.899999999999995</v>
      </c>
      <c r="D11" s="7" t="str">
        <f>INDEX(DS_GIAOVIEN!B:B,MATCH(COI_CHAM_HK2!B11,DS_GIAOVIEN!B:B,0),1)</f>
        <v>Đỗ Thị Kiều Vân</v>
      </c>
    </row>
    <row r="12" spans="1:4" x14ac:dyDescent="0.25">
      <c r="A12" s="20">
        <v>1</v>
      </c>
      <c r="B12" s="21" t="s">
        <v>131</v>
      </c>
      <c r="C12" s="22">
        <v>57.1</v>
      </c>
      <c r="D12" s="7" t="str">
        <f>INDEX(DS_GIAOVIEN!B:B,MATCH(COI_CHAM_HK2!B12,DS_GIAOVIEN!B:B,0),1)</f>
        <v>Nguyễn Thành Nguyên</v>
      </c>
    </row>
    <row r="13" spans="1:4" x14ac:dyDescent="0.25">
      <c r="A13" s="20">
        <v>1</v>
      </c>
      <c r="B13" s="21" t="s">
        <v>132</v>
      </c>
      <c r="C13" s="22">
        <v>36.5</v>
      </c>
      <c r="D13" s="7" t="str">
        <f>INDEX(DS_GIAOVIEN!B:B,MATCH(COI_CHAM_HK2!B13,DS_GIAOVIEN!B:B,0),1)</f>
        <v>Nguyễn Anh Thái</v>
      </c>
    </row>
    <row r="14" spans="1:4" x14ac:dyDescent="0.25">
      <c r="A14" s="20">
        <v>1</v>
      </c>
      <c r="B14" s="21" t="s">
        <v>133</v>
      </c>
      <c r="C14" s="22">
        <v>24.1</v>
      </c>
      <c r="D14" s="7" t="str">
        <f>INDEX(DS_GIAOVIEN!B:B,MATCH(COI_CHAM_HK2!B14,DS_GIAOVIEN!B:B,0),1)</f>
        <v>Nguyễn Quốc Tuấn</v>
      </c>
    </row>
    <row r="15" spans="1:4" x14ac:dyDescent="0.25">
      <c r="A15" s="20">
        <v>1</v>
      </c>
      <c r="B15" s="21" t="s">
        <v>134</v>
      </c>
      <c r="C15" s="22">
        <v>36.1</v>
      </c>
      <c r="D15" s="7" t="str">
        <f>INDEX(DS_GIAOVIEN!B:B,MATCH(COI_CHAM_HK2!B15,DS_GIAOVIEN!B:B,0),1)</f>
        <v>Nguyễn Mạnh Quế</v>
      </c>
    </row>
    <row r="16" spans="1:4" x14ac:dyDescent="0.25">
      <c r="A16" s="20">
        <v>1</v>
      </c>
      <c r="B16" s="21" t="s">
        <v>135</v>
      </c>
      <c r="C16" s="22">
        <v>23.1</v>
      </c>
      <c r="D16" s="7" t="str">
        <f>INDEX(DS_GIAOVIEN!B:B,MATCH(COI_CHAM_HK2!B16,DS_GIAOVIEN!B:B,0),1)</f>
        <v>Lưu Thiện Luật</v>
      </c>
    </row>
    <row r="17" spans="1:4" x14ac:dyDescent="0.25">
      <c r="A17" s="20">
        <v>1</v>
      </c>
      <c r="B17" s="21" t="s">
        <v>136</v>
      </c>
      <c r="C17" s="22">
        <v>37.399999999999991</v>
      </c>
      <c r="D17" s="7" t="str">
        <f>INDEX(DS_GIAOVIEN!B:B,MATCH(COI_CHAM_HK2!B17,DS_GIAOVIEN!B:B,0),1)</f>
        <v>Trần Thị Kim Dung</v>
      </c>
    </row>
    <row r="18" spans="1:4" x14ac:dyDescent="0.25">
      <c r="A18" s="20">
        <v>1</v>
      </c>
      <c r="B18" s="21" t="s">
        <v>137</v>
      </c>
      <c r="C18" s="22">
        <v>31.4</v>
      </c>
      <c r="D18" s="7" t="str">
        <f>INDEX(DS_GIAOVIEN!B:B,MATCH(COI_CHAM_HK2!B18,DS_GIAOVIEN!B:B,0),1)</f>
        <v>Huỳnh Ngọc Hoài Phương</v>
      </c>
    </row>
    <row r="19" spans="1:4" x14ac:dyDescent="0.25">
      <c r="A19" s="20">
        <v>1</v>
      </c>
      <c r="B19" s="21" t="s">
        <v>138</v>
      </c>
      <c r="C19" s="22">
        <v>26.5</v>
      </c>
      <c r="D19" s="7" t="str">
        <f>INDEX(DS_GIAOVIEN!B:B,MATCH(COI_CHAM_HK2!B19,DS_GIAOVIEN!B:B,0),1)</f>
        <v>Nguyễn Thị Luyến</v>
      </c>
    </row>
    <row r="20" spans="1:4" x14ac:dyDescent="0.25">
      <c r="A20" s="20">
        <v>1</v>
      </c>
      <c r="B20" s="21" t="s">
        <v>3</v>
      </c>
      <c r="C20" s="22">
        <v>17.100000000000001</v>
      </c>
      <c r="D20" s="7" t="str">
        <f>INDEX(DS_GIAOVIEN!B:B,MATCH(COI_CHAM_HK2!B20,DS_GIAOVIEN!B:B,0),1)</f>
        <v>Hồ Viết Thắng</v>
      </c>
    </row>
    <row r="21" spans="1:4" x14ac:dyDescent="0.25">
      <c r="A21" s="20">
        <v>1</v>
      </c>
      <c r="B21" s="21" t="s">
        <v>61</v>
      </c>
      <c r="C21" s="22">
        <v>20.200000000000003</v>
      </c>
      <c r="D21" s="7" t="str">
        <f>INDEX(DS_GIAOVIEN!B:B,MATCH(COI_CHAM_HK2!B21,DS_GIAOVIEN!B:B,0),1)</f>
        <v>Nguyễn Thị Miền</v>
      </c>
    </row>
    <row r="22" spans="1:4" x14ac:dyDescent="0.25">
      <c r="A22" s="20">
        <v>1</v>
      </c>
      <c r="B22" s="21" t="s">
        <v>139</v>
      </c>
      <c r="C22" s="22">
        <v>21.2</v>
      </c>
      <c r="D22" s="7" t="str">
        <f>INDEX(DS_GIAOVIEN!B:B,MATCH(COI_CHAM_HK2!B22,DS_GIAOVIEN!B:B,0),1)</f>
        <v>Nguyễn Thanh Tịnh</v>
      </c>
    </row>
    <row r="23" spans="1:4" x14ac:dyDescent="0.25">
      <c r="A23" s="20">
        <v>1</v>
      </c>
      <c r="B23" s="21" t="s">
        <v>140</v>
      </c>
      <c r="C23" s="22">
        <v>27.400000000000002</v>
      </c>
      <c r="D23" s="7" t="str">
        <f>INDEX(DS_GIAOVIEN!B:B,MATCH(COI_CHAM_HK2!B23,DS_GIAOVIEN!B:B,0),1)</f>
        <v>Mai Hồng Song</v>
      </c>
    </row>
    <row r="24" spans="1:4" x14ac:dyDescent="0.25">
      <c r="A24" s="20">
        <v>1</v>
      </c>
      <c r="B24" s="21" t="s">
        <v>141</v>
      </c>
      <c r="C24" s="22">
        <v>22.5</v>
      </c>
      <c r="D24" s="7" t="str">
        <f>INDEX(DS_GIAOVIEN!B:B,MATCH(COI_CHAM_HK2!B24,DS_GIAOVIEN!B:B,0),1)</f>
        <v>Đinh Việt Nam</v>
      </c>
    </row>
    <row r="25" spans="1:4" x14ac:dyDescent="0.25">
      <c r="A25" s="20">
        <v>1</v>
      </c>
      <c r="B25" s="21" t="s">
        <v>142</v>
      </c>
      <c r="C25" s="22">
        <v>4.5999999999999996</v>
      </c>
      <c r="D25" s="7" t="str">
        <f>INDEX(DS_GIAOVIEN!B:B,MATCH(COI_CHAM_HK2!B25,DS_GIAOVIEN!B:B,0),1)</f>
        <v>Lê Hữu Tín</v>
      </c>
    </row>
    <row r="26" spans="1:4" x14ac:dyDescent="0.25">
      <c r="A26" s="20">
        <v>1</v>
      </c>
      <c r="B26" s="21" t="s">
        <v>143</v>
      </c>
      <c r="C26" s="22">
        <v>3.6</v>
      </c>
      <c r="D26" s="7" t="str">
        <f>INDEX(DS_GIAOVIEN!B:B,MATCH(COI_CHAM_HK2!B26,DS_GIAOVIEN!B:B,0),1)</f>
        <v>Trịnh Thị Thu Hiền</v>
      </c>
    </row>
    <row r="27" spans="1:4" x14ac:dyDescent="0.25">
      <c r="A27" s="20">
        <v>1</v>
      </c>
      <c r="B27" s="21" t="s">
        <v>144</v>
      </c>
      <c r="C27" s="22">
        <v>2.3000000000000003</v>
      </c>
      <c r="D27" s="7" t="str">
        <f>INDEX(DS_GIAOVIEN!B:B,MATCH(COI_CHAM_HK2!B27,DS_GIAOVIEN!B:B,0),1)</f>
        <v>Đặng Ngọc Toàn</v>
      </c>
    </row>
    <row r="28" spans="1:4" x14ac:dyDescent="0.25">
      <c r="A28" s="20">
        <v>1</v>
      </c>
      <c r="B28" s="21" t="s">
        <v>145</v>
      </c>
      <c r="C28" s="22">
        <v>5.5</v>
      </c>
      <c r="D28" s="7" t="str">
        <f>INDEX(DS_GIAOVIEN!B:B,MATCH(COI_CHAM_HK2!B28,DS_GIAOVIEN!B:B,0),1)</f>
        <v>Trần Thị Huyền Thương</v>
      </c>
    </row>
    <row r="29" spans="1:4" x14ac:dyDescent="0.25">
      <c r="A29" s="20">
        <v>2</v>
      </c>
      <c r="B29" s="21" t="s">
        <v>146</v>
      </c>
      <c r="C29" s="22">
        <v>16.399999999999999</v>
      </c>
      <c r="D29" s="7" t="str">
        <f>INDEX(DS_GIAOVIEN!B:B,MATCH(COI_CHAM_HK2!B29,DS_GIAOVIEN!B:B,0),1)</f>
        <v>Đinh Phú Nguyên</v>
      </c>
    </row>
    <row r="30" spans="1:4" x14ac:dyDescent="0.25">
      <c r="A30" s="20">
        <v>2</v>
      </c>
      <c r="B30" s="21" t="s">
        <v>44</v>
      </c>
      <c r="C30" s="22">
        <v>62.099999999999994</v>
      </c>
      <c r="D30" s="7" t="str">
        <f>INDEX(DS_GIAOVIEN!B:B,MATCH(COI_CHAM_HK2!B30,DS_GIAOVIEN!B:B,0),1)</f>
        <v>Lê Văn Tùng</v>
      </c>
    </row>
    <row r="31" spans="1:4" x14ac:dyDescent="0.25">
      <c r="A31" s="20">
        <v>2</v>
      </c>
      <c r="B31" s="21" t="s">
        <v>216</v>
      </c>
      <c r="C31" s="22">
        <v>30.8</v>
      </c>
      <c r="D31" s="7" t="str">
        <f>INDEX(DS_GIAOVIEN!B:B,MATCH(COI_CHAM_HK2!B31,DS_GIAOVIEN!B:B,0),1)</f>
        <v>Nguyễn Thị Thùy Linh</v>
      </c>
    </row>
    <row r="32" spans="1:4" x14ac:dyDescent="0.25">
      <c r="A32" s="20">
        <v>2</v>
      </c>
      <c r="B32" s="21" t="s">
        <v>75</v>
      </c>
      <c r="C32" s="22">
        <v>35.399999999999991</v>
      </c>
      <c r="D32" s="7" t="str">
        <f>INDEX(DS_GIAOVIEN!B:B,MATCH(COI_CHAM_HK2!B32,DS_GIAOVIEN!B:B,0),1)</f>
        <v>Dương Duy Hậu</v>
      </c>
    </row>
    <row r="33" spans="1:4" x14ac:dyDescent="0.25">
      <c r="A33" s="20">
        <v>2</v>
      </c>
      <c r="B33" s="21" t="s">
        <v>46</v>
      </c>
      <c r="C33" s="22">
        <v>20.599999999999998</v>
      </c>
      <c r="D33" s="7" t="str">
        <f>INDEX(DS_GIAOVIEN!B:B,MATCH(COI_CHAM_HK2!B33,DS_GIAOVIEN!B:B,0),1)</f>
        <v>Nguyễn Như Kiên</v>
      </c>
    </row>
    <row r="34" spans="1:4" x14ac:dyDescent="0.25">
      <c r="A34" s="20">
        <v>2</v>
      </c>
      <c r="B34" s="21" t="s">
        <v>45</v>
      </c>
      <c r="C34" s="22">
        <v>26.5</v>
      </c>
      <c r="D34" s="7" t="str">
        <f>INDEX(DS_GIAOVIEN!B:B,MATCH(COI_CHAM_HK2!B34,DS_GIAOVIEN!B:B,0),1)</f>
        <v>Dương Thị Thúy Hoàng</v>
      </c>
    </row>
    <row r="35" spans="1:4" x14ac:dyDescent="0.25">
      <c r="A35" s="20">
        <v>2</v>
      </c>
      <c r="B35" s="21" t="s">
        <v>13</v>
      </c>
      <c r="C35" s="22">
        <v>31.399999999999995</v>
      </c>
      <c r="D35" s="7" t="str">
        <f>INDEX(DS_GIAOVIEN!B:B,MATCH(COI_CHAM_HK2!B35,DS_GIAOVIEN!B:B,0),1)</f>
        <v>Nguyễn Thị Thu Hà</v>
      </c>
    </row>
    <row r="36" spans="1:4" x14ac:dyDescent="0.25">
      <c r="A36" s="20">
        <v>2</v>
      </c>
      <c r="B36" s="21" t="s">
        <v>40</v>
      </c>
      <c r="C36" s="22">
        <v>49.3</v>
      </c>
      <c r="D36" s="7" t="str">
        <f>INDEX(DS_GIAOVIEN!B:B,MATCH(COI_CHAM_HK2!B36,DS_GIAOVIEN!B:B,0),1)</f>
        <v>Lê Thị Hạnh</v>
      </c>
    </row>
    <row r="37" spans="1:4" x14ac:dyDescent="0.25">
      <c r="A37" s="20">
        <v>2</v>
      </c>
      <c r="B37" s="21" t="s">
        <v>67</v>
      </c>
      <c r="C37" s="22">
        <v>55.5</v>
      </c>
      <c r="D37" s="7" t="str">
        <f>INDEX(DS_GIAOVIEN!B:B,MATCH(COI_CHAM_HK2!B37,DS_GIAOVIEN!B:B,0),1)</f>
        <v>Phạm Thị Thu Hạnh</v>
      </c>
    </row>
    <row r="38" spans="1:4" x14ac:dyDescent="0.25">
      <c r="A38" s="20">
        <v>2</v>
      </c>
      <c r="B38" s="21" t="s">
        <v>24</v>
      </c>
      <c r="C38" s="22">
        <v>42.9</v>
      </c>
      <c r="D38" s="7" t="str">
        <f>INDEX(DS_GIAOVIEN!B:B,MATCH(COI_CHAM_HK2!B38,DS_GIAOVIEN!B:B,0),1)</f>
        <v>Hoàng Thị Mền</v>
      </c>
    </row>
    <row r="39" spans="1:4" x14ac:dyDescent="0.25">
      <c r="A39" s="20">
        <v>2</v>
      </c>
      <c r="B39" s="21" t="s">
        <v>10</v>
      </c>
      <c r="C39" s="22">
        <v>52.1</v>
      </c>
      <c r="D39" s="7" t="str">
        <f>INDEX(DS_GIAOVIEN!B:B,MATCH(COI_CHAM_HK2!B39,DS_GIAOVIEN!B:B,0),1)</f>
        <v>Nguyễn Bá Hoàn</v>
      </c>
    </row>
    <row r="40" spans="1:4" x14ac:dyDescent="0.25">
      <c r="A40" s="20">
        <v>2</v>
      </c>
      <c r="B40" s="21" t="s">
        <v>92</v>
      </c>
      <c r="C40" s="22">
        <v>31.5</v>
      </c>
      <c r="D40" s="7" t="str">
        <f>INDEX(DS_GIAOVIEN!B:B,MATCH(COI_CHAM_HK2!B40,DS_GIAOVIEN!B:B,0),1)</f>
        <v>Trần Thị Bích Thùy</v>
      </c>
    </row>
    <row r="41" spans="1:4" x14ac:dyDescent="0.25">
      <c r="A41" s="20">
        <v>2</v>
      </c>
      <c r="B41" s="21" t="s">
        <v>9</v>
      </c>
      <c r="C41" s="22">
        <v>17.799999999999997</v>
      </c>
      <c r="D41" s="7" t="str">
        <f>INDEX(DS_GIAOVIEN!B:B,MATCH(COI_CHAM_HK2!B41,DS_GIAOVIEN!B:B,0),1)</f>
        <v>Nguyễn Thị Ái Nhi</v>
      </c>
    </row>
    <row r="42" spans="1:4" x14ac:dyDescent="0.25">
      <c r="A42" s="20">
        <v>2</v>
      </c>
      <c r="B42" s="21" t="s">
        <v>98</v>
      </c>
      <c r="C42" s="22">
        <v>37.9</v>
      </c>
      <c r="D42" s="7" t="str">
        <f>INDEX(DS_GIAOVIEN!B:B,MATCH(COI_CHAM_HK2!B42,DS_GIAOVIEN!B:B,0),1)</f>
        <v>Trần Anh Tuấn</v>
      </c>
    </row>
    <row r="43" spans="1:4" x14ac:dyDescent="0.25">
      <c r="A43" s="20">
        <v>2</v>
      </c>
      <c r="B43" s="21" t="s">
        <v>97</v>
      </c>
      <c r="C43" s="22">
        <v>30.2</v>
      </c>
      <c r="D43" s="7" t="str">
        <f>INDEX(DS_GIAOVIEN!B:B,MATCH(COI_CHAM_HK2!B43,DS_GIAOVIEN!B:B,0),1)</f>
        <v>Nguyễn Thị Giang</v>
      </c>
    </row>
    <row r="44" spans="1:4" x14ac:dyDescent="0.25">
      <c r="A44" s="20">
        <v>2</v>
      </c>
      <c r="B44" s="21" t="s">
        <v>147</v>
      </c>
      <c r="C44" s="22">
        <v>37.599999999999994</v>
      </c>
      <c r="D44" s="7" t="str">
        <f>INDEX(DS_GIAOVIEN!B:B,MATCH(COI_CHAM_HK2!B44,DS_GIAOVIEN!B:B,0),1)</f>
        <v>Nguyễn Đức Anh</v>
      </c>
    </row>
    <row r="45" spans="1:4" x14ac:dyDescent="0.25">
      <c r="A45" s="20">
        <v>2</v>
      </c>
      <c r="B45" s="21" t="s">
        <v>14</v>
      </c>
      <c r="C45" s="22">
        <v>12</v>
      </c>
      <c r="D45" s="7" t="str">
        <f>INDEX(DS_GIAOVIEN!B:B,MATCH(COI_CHAM_HK2!B45,DS_GIAOVIEN!B:B,0),1)</f>
        <v>Phan Thị Hà</v>
      </c>
    </row>
    <row r="46" spans="1:4" x14ac:dyDescent="0.25">
      <c r="A46" s="20">
        <v>2</v>
      </c>
      <c r="B46" s="21" t="s">
        <v>96</v>
      </c>
      <c r="C46" s="22">
        <v>19.5</v>
      </c>
      <c r="D46" s="7" t="str">
        <f>INDEX(DS_GIAOVIEN!B:B,MATCH(COI_CHAM_HK2!B46,DS_GIAOVIEN!B:B,0),1)</f>
        <v>Nguyễn Trần Hồng Quân</v>
      </c>
    </row>
    <row r="47" spans="1:4" x14ac:dyDescent="0.25">
      <c r="A47" s="20">
        <v>2</v>
      </c>
      <c r="B47" s="21" t="s">
        <v>91</v>
      </c>
      <c r="C47" s="22">
        <v>12.3</v>
      </c>
      <c r="D47" s="7" t="str">
        <f>INDEX(DS_GIAOVIEN!B:B,MATCH(COI_CHAM_HK2!B47,DS_GIAOVIEN!B:B,0),1)</f>
        <v>Phạm Thị Thúy Vân</v>
      </c>
    </row>
    <row r="48" spans="1:4" x14ac:dyDescent="0.25">
      <c r="A48" s="20">
        <v>2</v>
      </c>
      <c r="B48" s="21" t="s">
        <v>29</v>
      </c>
      <c r="C48" s="22">
        <v>23.3</v>
      </c>
      <c r="D48" s="7" t="str">
        <f>INDEX(DS_GIAOVIEN!B:B,MATCH(COI_CHAM_HK2!B48,DS_GIAOVIEN!B:B,0),1)</f>
        <v>Ngô Thùy Hương</v>
      </c>
    </row>
    <row r="49" spans="1:4" x14ac:dyDescent="0.25">
      <c r="A49" s="20">
        <v>2</v>
      </c>
      <c r="B49" s="21" t="s">
        <v>62</v>
      </c>
      <c r="C49" s="22">
        <v>19.200000000000003</v>
      </c>
      <c r="D49" s="7" t="str">
        <f>INDEX(DS_GIAOVIEN!B:B,MATCH(COI_CHAM_HK2!B49,DS_GIAOVIEN!B:B,0),1)</f>
        <v>Vũ Thị Lệ Thủy</v>
      </c>
    </row>
    <row r="50" spans="1:4" x14ac:dyDescent="0.25">
      <c r="A50" s="20">
        <v>2</v>
      </c>
      <c r="B50" s="21" t="s">
        <v>63</v>
      </c>
      <c r="C50" s="22">
        <v>15.7</v>
      </c>
      <c r="D50" s="7" t="str">
        <f>INDEX(DS_GIAOVIEN!B:B,MATCH(COI_CHAM_HK2!B50,DS_GIAOVIEN!B:B,0),1)</f>
        <v>Bùi Thị Lý</v>
      </c>
    </row>
    <row r="51" spans="1:4" x14ac:dyDescent="0.25">
      <c r="A51" s="20">
        <v>2</v>
      </c>
      <c r="B51" s="21" t="s">
        <v>30</v>
      </c>
      <c r="C51" s="22">
        <v>20.399999999999999</v>
      </c>
      <c r="D51" s="7" t="str">
        <f>INDEX(DS_GIAOVIEN!B:B,MATCH(COI_CHAM_HK2!B51,DS_GIAOVIEN!B:B,0),1)</f>
        <v>Nguyễn Ngọc Châu</v>
      </c>
    </row>
    <row r="52" spans="1:4" x14ac:dyDescent="0.25">
      <c r="A52" s="20">
        <v>2</v>
      </c>
      <c r="B52" s="21" t="s">
        <v>78</v>
      </c>
      <c r="C52" s="22">
        <v>1</v>
      </c>
      <c r="D52" s="7" t="str">
        <f>INDEX(DS_GIAOVIEN!B:B,MATCH(COI_CHAM_HK2!B52,DS_GIAOVIEN!B:B,0),1)</f>
        <v>Y Khoa Niê Kdăm</v>
      </c>
    </row>
    <row r="53" spans="1:4" x14ac:dyDescent="0.25">
      <c r="A53" s="20">
        <v>2</v>
      </c>
      <c r="B53" s="21" t="s">
        <v>79</v>
      </c>
      <c r="C53" s="22">
        <v>4.8</v>
      </c>
      <c r="D53" s="7" t="str">
        <f>INDEX(DS_GIAOVIEN!B:B,MATCH(COI_CHAM_HK2!B53,DS_GIAOVIEN!B:B,0),1)</f>
        <v>Trương Văn Giản</v>
      </c>
    </row>
    <row r="54" spans="1:4" x14ac:dyDescent="0.25">
      <c r="A54" s="20">
        <v>3</v>
      </c>
      <c r="B54" s="21" t="s">
        <v>148</v>
      </c>
      <c r="C54" s="22">
        <v>12.2</v>
      </c>
      <c r="D54" s="7" t="str">
        <f>INDEX(DS_GIAOVIEN!B:B,MATCH(COI_CHAM_HK2!B54,DS_GIAOVIEN!B:B,0),1)</f>
        <v>Y Tô Niê Hra</v>
      </c>
    </row>
    <row r="55" spans="1:4" x14ac:dyDescent="0.25">
      <c r="A55" s="20">
        <v>3</v>
      </c>
      <c r="B55" s="21" t="s">
        <v>39</v>
      </c>
      <c r="C55" s="22">
        <v>39.5</v>
      </c>
      <c r="D55" s="7" t="str">
        <f>INDEX(DS_GIAOVIEN!B:B,MATCH(COI_CHAM_HK2!B55,DS_GIAOVIEN!B:B,0),1)</f>
        <v>Trịnh Văn Thuyết</v>
      </c>
    </row>
    <row r="56" spans="1:4" x14ac:dyDescent="0.25">
      <c r="A56" s="20">
        <v>3</v>
      </c>
      <c r="B56" s="21" t="s">
        <v>149</v>
      </c>
      <c r="C56" s="22">
        <v>49.300000000000004</v>
      </c>
      <c r="D56" s="7" t="str">
        <f>INDEX(DS_GIAOVIEN!B:B,MATCH(COI_CHAM_HK2!B56,DS_GIAOVIEN!B:B,0),1)</f>
        <v>Trần Văn Khi</v>
      </c>
    </row>
    <row r="57" spans="1:4" x14ac:dyDescent="0.25">
      <c r="A57" s="20">
        <v>3</v>
      </c>
      <c r="B57" s="21" t="s">
        <v>76</v>
      </c>
      <c r="C57" s="22">
        <v>65.5</v>
      </c>
      <c r="D57" s="7" t="str">
        <f>INDEX(DS_GIAOVIEN!B:B,MATCH(COI_CHAM_HK2!B57,DS_GIAOVIEN!B:B,0),1)</f>
        <v>Cao Hữu Hải</v>
      </c>
    </row>
    <row r="58" spans="1:4" x14ac:dyDescent="0.25">
      <c r="A58" s="20">
        <v>3</v>
      </c>
      <c r="B58" s="21" t="s">
        <v>47</v>
      </c>
      <c r="C58" s="22">
        <v>49.2</v>
      </c>
      <c r="D58" s="7" t="str">
        <f>INDEX(DS_GIAOVIEN!B:B,MATCH(COI_CHAM_HK2!B58,DS_GIAOVIEN!B:B,0),1)</f>
        <v>Nguyễn Võ Danh</v>
      </c>
    </row>
    <row r="59" spans="1:4" x14ac:dyDescent="0.25">
      <c r="A59" s="20">
        <v>3</v>
      </c>
      <c r="B59" s="21" t="s">
        <v>77</v>
      </c>
      <c r="C59" s="22">
        <v>51.800000000000004</v>
      </c>
      <c r="D59" s="7" t="str">
        <f>INDEX(DS_GIAOVIEN!B:B,MATCH(COI_CHAM_HK2!B59,DS_GIAOVIEN!B:B,0),1)</f>
        <v>Lê Ngọc An</v>
      </c>
    </row>
    <row r="60" spans="1:4" x14ac:dyDescent="0.25">
      <c r="A60" s="20">
        <v>3</v>
      </c>
      <c r="B60" s="21" t="s">
        <v>72</v>
      </c>
      <c r="C60" s="22">
        <v>21.799999999999997</v>
      </c>
      <c r="D60" s="7" t="str">
        <f>INDEX(DS_GIAOVIEN!B:B,MATCH(COI_CHAM_HK2!B60,DS_GIAOVIEN!B:B,0),1)</f>
        <v>Trần Ngọc Thanh</v>
      </c>
    </row>
    <row r="61" spans="1:4" x14ac:dyDescent="0.25">
      <c r="A61" s="20">
        <v>3</v>
      </c>
      <c r="B61" s="21" t="s">
        <v>49</v>
      </c>
      <c r="C61" s="22">
        <v>26.1</v>
      </c>
      <c r="D61" s="7" t="str">
        <f>INDEX(DS_GIAOVIEN!B:B,MATCH(COI_CHAM_HK2!B61,DS_GIAOVIEN!B:B,0),1)</f>
        <v>Nguyễn Thanh Dinh</v>
      </c>
    </row>
    <row r="62" spans="1:4" x14ac:dyDescent="0.25">
      <c r="A62" s="20">
        <v>3</v>
      </c>
      <c r="B62" s="21" t="s">
        <v>15</v>
      </c>
      <c r="C62" s="22">
        <v>12.8</v>
      </c>
      <c r="D62" s="7" t="str">
        <f>INDEX(DS_GIAOVIEN!B:B,MATCH(COI_CHAM_HK2!B62,DS_GIAOVIEN!B:B,0),1)</f>
        <v>Vũ Văn Minh</v>
      </c>
    </row>
    <row r="63" spans="1:4" x14ac:dyDescent="0.25">
      <c r="A63" s="20">
        <v>3</v>
      </c>
      <c r="B63" s="21" t="s">
        <v>16</v>
      </c>
      <c r="C63" s="22">
        <v>29.400000000000002</v>
      </c>
      <c r="D63" s="7" t="str">
        <f>INDEX(DS_GIAOVIEN!B:B,MATCH(COI_CHAM_HK2!B63,DS_GIAOVIEN!B:B,0),1)</f>
        <v>Đỗ Tất Thiện</v>
      </c>
    </row>
    <row r="64" spans="1:4" x14ac:dyDescent="0.25">
      <c r="A64" s="20">
        <v>3</v>
      </c>
      <c r="B64" s="21" t="s">
        <v>6</v>
      </c>
      <c r="C64" s="22">
        <v>28.299999999999997</v>
      </c>
      <c r="D64" s="7" t="str">
        <f>INDEX(DS_GIAOVIEN!B:B,MATCH(COI_CHAM_HK2!B64,DS_GIAOVIEN!B:B,0),1)</f>
        <v>Phạm Thúc Định</v>
      </c>
    </row>
    <row r="65" spans="1:4" x14ac:dyDescent="0.25">
      <c r="A65" s="20">
        <v>3</v>
      </c>
      <c r="B65" s="21" t="s">
        <v>50</v>
      </c>
      <c r="C65" s="22">
        <v>20.8</v>
      </c>
      <c r="D65" s="7" t="str">
        <f>INDEX(DS_GIAOVIEN!B:B,MATCH(COI_CHAM_HK2!B65,DS_GIAOVIEN!B:B,0),1)</f>
        <v>Nguyễn Ngọc Khoa</v>
      </c>
    </row>
    <row r="66" spans="1:4" x14ac:dyDescent="0.25">
      <c r="A66" s="20">
        <v>3</v>
      </c>
      <c r="B66" s="21" t="s">
        <v>48</v>
      </c>
      <c r="C66" s="22">
        <v>27.5</v>
      </c>
      <c r="D66" s="7" t="str">
        <f>INDEX(DS_GIAOVIEN!B:B,MATCH(COI_CHAM_HK2!B66,DS_GIAOVIEN!B:B,0),1)</f>
        <v>Nguyễn Khôi Nguyên</v>
      </c>
    </row>
    <row r="67" spans="1:4" x14ac:dyDescent="0.25">
      <c r="A67" s="20">
        <v>3</v>
      </c>
      <c r="B67" s="21" t="s">
        <v>150</v>
      </c>
      <c r="C67" s="22">
        <v>28.199999999999996</v>
      </c>
      <c r="D67" s="7" t="str">
        <f>INDEX(DS_GIAOVIEN!B:B,MATCH(COI_CHAM_HK2!B67,DS_GIAOVIEN!B:B,0),1)</f>
        <v>Trịnh Xuân Yên</v>
      </c>
    </row>
    <row r="68" spans="1:4" x14ac:dyDescent="0.25">
      <c r="A68" s="20">
        <v>3</v>
      </c>
      <c r="B68" s="21" t="s">
        <v>70</v>
      </c>
      <c r="C68" s="22">
        <v>33.199999999999996</v>
      </c>
      <c r="D68" s="7" t="str">
        <f>INDEX(DS_GIAOVIEN!B:B,MATCH(COI_CHAM_HK2!B68,DS_GIAOVIEN!B:B,0),1)</f>
        <v>Trần Lâm Sơn</v>
      </c>
    </row>
    <row r="69" spans="1:4" x14ac:dyDescent="0.25">
      <c r="A69" s="20">
        <v>3</v>
      </c>
      <c r="B69" s="21" t="s">
        <v>33</v>
      </c>
      <c r="C69" s="22">
        <v>24.4</v>
      </c>
      <c r="D69" s="7" t="str">
        <f>INDEX(DS_GIAOVIEN!B:B,MATCH(COI_CHAM_HK2!B69,DS_GIAOVIEN!B:B,0),1)</f>
        <v>Nguyễn Hữu Hiệp</v>
      </c>
    </row>
    <row r="70" spans="1:4" x14ac:dyDescent="0.25">
      <c r="A70" s="20">
        <v>3</v>
      </c>
      <c r="B70" s="21" t="s">
        <v>115</v>
      </c>
      <c r="C70" s="22">
        <v>19.3</v>
      </c>
      <c r="D70" s="7" t="str">
        <f>INDEX(DS_GIAOVIEN!B:B,MATCH(COI_CHAM_HK2!B70,DS_GIAOVIEN!B:B,0),1)</f>
        <v>Nguyễn Văn Thành</v>
      </c>
    </row>
    <row r="71" spans="1:4" x14ac:dyDescent="0.25">
      <c r="A71" s="20">
        <v>3</v>
      </c>
      <c r="B71" s="21" t="s">
        <v>114</v>
      </c>
      <c r="C71" s="22">
        <v>18.600000000000001</v>
      </c>
      <c r="D71" s="7" t="str">
        <f>INDEX(DS_GIAOVIEN!B:B,MATCH(COI_CHAM_HK2!B71,DS_GIAOVIEN!B:B,0),1)</f>
        <v>Y Tho Byă</v>
      </c>
    </row>
    <row r="72" spans="1:4" x14ac:dyDescent="0.25">
      <c r="A72" s="20">
        <v>3</v>
      </c>
      <c r="B72" s="21" t="s">
        <v>95</v>
      </c>
      <c r="C72" s="22">
        <v>11.3</v>
      </c>
      <c r="D72" s="7" t="str">
        <f>INDEX(DS_GIAOVIEN!B:B,MATCH(COI_CHAM_HK2!B72,DS_GIAOVIEN!B:B,0),1)</f>
        <v>Nguyễn Thị Hương Thảo</v>
      </c>
    </row>
    <row r="73" spans="1:4" x14ac:dyDescent="0.25">
      <c r="A73" s="20">
        <v>3</v>
      </c>
      <c r="B73" s="21" t="s">
        <v>151</v>
      </c>
      <c r="C73" s="22">
        <v>4.5999999999999996</v>
      </c>
      <c r="D73" s="7" t="str">
        <f>INDEX(DS_GIAOVIEN!B:B,MATCH(COI_CHAM_HK2!B73,DS_GIAOVIEN!B:B,0),1)</f>
        <v>Trần Hoàng Anh</v>
      </c>
    </row>
    <row r="74" spans="1:4" x14ac:dyDescent="0.25">
      <c r="A74" s="20">
        <v>4</v>
      </c>
      <c r="B74" s="21" t="s">
        <v>81</v>
      </c>
      <c r="C74" s="22">
        <v>27.499999999999996</v>
      </c>
      <c r="D74" s="7" t="str">
        <f>INDEX(DS_GIAOVIEN!B:B,MATCH(COI_CHAM_HK2!B74,DS_GIAOVIEN!B:B,0),1)</f>
        <v>Ngô Phạm Hồng Phước</v>
      </c>
    </row>
    <row r="75" spans="1:4" x14ac:dyDescent="0.25">
      <c r="A75" s="20">
        <v>4</v>
      </c>
      <c r="B75" s="21" t="s">
        <v>152</v>
      </c>
      <c r="C75" s="22">
        <v>15.5</v>
      </c>
      <c r="D75" s="7" t="str">
        <f>INDEX(DS_GIAOVIEN!B:B,MATCH(COI_CHAM_HK2!B75,DS_GIAOVIEN!B:B,0),1)</f>
        <v>Phan Anh Hậu</v>
      </c>
    </row>
    <row r="76" spans="1:4" x14ac:dyDescent="0.25">
      <c r="A76" s="20">
        <v>4</v>
      </c>
      <c r="B76" s="21" t="s">
        <v>64</v>
      </c>
      <c r="C76" s="22">
        <v>15.2</v>
      </c>
      <c r="D76" s="7" t="str">
        <f>INDEX(DS_GIAOVIEN!B:B,MATCH(COI_CHAM_HK2!B76,DS_GIAOVIEN!B:B,0),1)</f>
        <v>Vũ Đình Thi</v>
      </c>
    </row>
    <row r="77" spans="1:4" x14ac:dyDescent="0.25">
      <c r="A77" s="20">
        <v>4</v>
      </c>
      <c r="B77" s="21" t="s">
        <v>18</v>
      </c>
      <c r="C77" s="22">
        <v>21.9</v>
      </c>
      <c r="D77" s="7" t="str">
        <f>INDEX(DS_GIAOVIEN!B:B,MATCH(COI_CHAM_HK2!B77,DS_GIAOVIEN!B:B,0),1)</f>
        <v>Nguyễn Quốc Toàn</v>
      </c>
    </row>
    <row r="78" spans="1:4" x14ac:dyDescent="0.25">
      <c r="A78" s="20">
        <v>4</v>
      </c>
      <c r="B78" s="21" t="s">
        <v>17</v>
      </c>
      <c r="C78" s="22">
        <v>20.8</v>
      </c>
      <c r="D78" s="7" t="str">
        <f>INDEX(DS_GIAOVIEN!B:B,MATCH(COI_CHAM_HK2!B78,DS_GIAOVIEN!B:B,0),1)</f>
        <v>Nguyễn Hữu Hoành</v>
      </c>
    </row>
    <row r="79" spans="1:4" x14ac:dyDescent="0.25">
      <c r="A79" s="20">
        <v>4</v>
      </c>
      <c r="B79" s="21" t="s">
        <v>12</v>
      </c>
      <c r="C79" s="22">
        <v>33.799999999999997</v>
      </c>
      <c r="D79" s="7" t="str">
        <f>INDEX(DS_GIAOVIEN!B:B,MATCH(COI_CHAM_HK2!B79,DS_GIAOVIEN!B:B,0),1)</f>
        <v>Trần Thanh Dũng</v>
      </c>
    </row>
    <row r="80" spans="1:4" x14ac:dyDescent="0.25">
      <c r="A80" s="20">
        <v>4</v>
      </c>
      <c r="B80" s="21" t="s">
        <v>68</v>
      </c>
      <c r="C80" s="22">
        <v>24.1</v>
      </c>
      <c r="D80" s="7" t="str">
        <f>INDEX(DS_GIAOVIEN!B:B,MATCH(COI_CHAM_HK2!B80,DS_GIAOVIEN!B:B,0),1)</f>
        <v>Trần Văn Tường</v>
      </c>
    </row>
    <row r="81" spans="1:4" x14ac:dyDescent="0.25">
      <c r="A81" s="20">
        <v>4</v>
      </c>
      <c r="B81" s="21" t="s">
        <v>5</v>
      </c>
      <c r="C81" s="22">
        <v>21.3</v>
      </c>
      <c r="D81" s="7" t="str">
        <f>INDEX(DS_GIAOVIEN!B:B,MATCH(COI_CHAM_HK2!B81,DS_GIAOVIEN!B:B,0),1)</f>
        <v>Vũ Văn Quang</v>
      </c>
    </row>
    <row r="82" spans="1:4" x14ac:dyDescent="0.25">
      <c r="A82" s="20">
        <v>4</v>
      </c>
      <c r="B82" s="21" t="s">
        <v>41</v>
      </c>
      <c r="C82" s="22">
        <v>16.2</v>
      </c>
      <c r="D82" s="7" t="str">
        <f>INDEX(DS_GIAOVIEN!B:B,MATCH(COI_CHAM_HK2!B82,DS_GIAOVIEN!B:B,0),1)</f>
        <v>Chu Văn Cung</v>
      </c>
    </row>
    <row r="83" spans="1:4" x14ac:dyDescent="0.25">
      <c r="A83" s="20">
        <v>4</v>
      </c>
      <c r="B83" s="21" t="s">
        <v>153</v>
      </c>
      <c r="C83" s="22">
        <v>13.1</v>
      </c>
      <c r="D83" s="7" t="str">
        <f>INDEX(DS_GIAOVIEN!B:B,MATCH(COI_CHAM_HK2!B83,DS_GIAOVIEN!B:B,0),1)</f>
        <v>Ngô Quang Vinh</v>
      </c>
    </row>
    <row r="84" spans="1:4" x14ac:dyDescent="0.25">
      <c r="A84" s="20">
        <v>4</v>
      </c>
      <c r="B84" s="21" t="s">
        <v>154</v>
      </c>
      <c r="C84" s="22">
        <v>31.1</v>
      </c>
      <c r="D84" s="7" t="str">
        <f>INDEX(DS_GIAOVIEN!B:B,MATCH(COI_CHAM_HK2!B84,DS_GIAOVIEN!B:B,0),1)</f>
        <v>Nguyễn Trung Hiếu</v>
      </c>
    </row>
    <row r="85" spans="1:4" x14ac:dyDescent="0.25">
      <c r="A85" s="20">
        <v>4</v>
      </c>
      <c r="B85" s="21" t="s">
        <v>69</v>
      </c>
      <c r="C85" s="22">
        <v>30.5</v>
      </c>
      <c r="D85" s="7" t="str">
        <f>INDEX(DS_GIAOVIEN!B:B,MATCH(COI_CHAM_HK2!B85,DS_GIAOVIEN!B:B,0),1)</f>
        <v>Ngô Xuân Thành</v>
      </c>
    </row>
    <row r="86" spans="1:4" x14ac:dyDescent="0.25">
      <c r="A86" s="20">
        <v>4</v>
      </c>
      <c r="B86" s="21" t="s">
        <v>73</v>
      </c>
      <c r="C86" s="22">
        <v>25.799999999999997</v>
      </c>
      <c r="D86" s="7" t="str">
        <f>INDEX(DS_GIAOVIEN!B:B,MATCH(COI_CHAM_HK2!B86,DS_GIAOVIEN!B:B,0),1)</f>
        <v>Y Louit Niê</v>
      </c>
    </row>
    <row r="87" spans="1:4" x14ac:dyDescent="0.25">
      <c r="A87" s="20">
        <v>4</v>
      </c>
      <c r="B87" s="21" t="s">
        <v>4</v>
      </c>
      <c r="C87" s="22">
        <v>20.9</v>
      </c>
      <c r="D87" s="7" t="str">
        <f>INDEX(DS_GIAOVIEN!B:B,MATCH(COI_CHAM_HK2!B87,DS_GIAOVIEN!B:B,0),1)</f>
        <v>Phan Văn Kỳ</v>
      </c>
    </row>
    <row r="88" spans="1:4" x14ac:dyDescent="0.25">
      <c r="A88" s="20">
        <v>4</v>
      </c>
      <c r="B88" s="21" t="s">
        <v>122</v>
      </c>
      <c r="C88" s="22">
        <v>28.1</v>
      </c>
      <c r="D88" s="7" t="str">
        <f>INDEX(DS_GIAOVIEN!B:B,MATCH(COI_CHAM_HK2!B88,DS_GIAOVIEN!B:B,0),1)</f>
        <v>Nguyễn Thành Chung</v>
      </c>
    </row>
    <row r="89" spans="1:4" x14ac:dyDescent="0.25">
      <c r="A89" s="20">
        <v>4</v>
      </c>
      <c r="B89" s="21" t="s">
        <v>123</v>
      </c>
      <c r="C89" s="22">
        <v>30</v>
      </c>
      <c r="D89" s="7" t="str">
        <f>INDEX(DS_GIAOVIEN!B:B,MATCH(COI_CHAM_HK2!B89,DS_GIAOVIEN!B:B,0),1)</f>
        <v>Y Si la Knul</v>
      </c>
    </row>
    <row r="90" spans="1:4" x14ac:dyDescent="0.25">
      <c r="A90" s="20">
        <v>4</v>
      </c>
      <c r="B90" s="21" t="s">
        <v>11</v>
      </c>
      <c r="C90" s="22">
        <v>51.400000000000006</v>
      </c>
      <c r="D90" s="7" t="str">
        <f>INDEX(DS_GIAOVIEN!B:B,MATCH(COI_CHAM_HK2!B90,DS_GIAOVIEN!B:B,0),1)</f>
        <v>Đặng Xuân Hạnh</v>
      </c>
    </row>
    <row r="91" spans="1:4" x14ac:dyDescent="0.25">
      <c r="A91" s="20">
        <v>4</v>
      </c>
      <c r="B91" s="21" t="s">
        <v>121</v>
      </c>
      <c r="C91" s="22">
        <v>25.4</v>
      </c>
      <c r="D91" s="7" t="str">
        <f>INDEX(DS_GIAOVIEN!B:B,MATCH(COI_CHAM_HK2!B91,DS_GIAOVIEN!B:B,0),1)</f>
        <v>Nguyễn Ngọc Tuấn</v>
      </c>
    </row>
    <row r="92" spans="1:4" x14ac:dyDescent="0.25">
      <c r="A92" s="20">
        <v>4</v>
      </c>
      <c r="B92" s="21" t="s">
        <v>120</v>
      </c>
      <c r="C92" s="22">
        <v>8.4</v>
      </c>
      <c r="D92" s="7" t="str">
        <f>INDEX(DS_GIAOVIEN!B:B,MATCH(COI_CHAM_HK2!B92,DS_GIAOVIEN!B:B,0),1)</f>
        <v>Trần Thanh Hải</v>
      </c>
    </row>
    <row r="93" spans="1:4" x14ac:dyDescent="0.25">
      <c r="A93" s="20">
        <v>4</v>
      </c>
      <c r="B93" s="21" t="s">
        <v>155</v>
      </c>
      <c r="C93" s="22">
        <v>29.3</v>
      </c>
      <c r="D93" s="7" t="str">
        <f>INDEX(DS_GIAOVIEN!B:B,MATCH(COI_CHAM_HK2!B93,DS_GIAOVIEN!B:B,0),1)</f>
        <v>Nguyễn Hữu Nghĩa</v>
      </c>
    </row>
    <row r="94" spans="1:4" x14ac:dyDescent="0.25">
      <c r="A94" s="20">
        <v>4</v>
      </c>
      <c r="B94" s="21" t="s">
        <v>211</v>
      </c>
      <c r="C94" s="22">
        <v>39.599999999999994</v>
      </c>
      <c r="D94" s="7" t="str">
        <f>INDEX(DS_GIAOVIEN!B:B,MATCH(COI_CHAM_HK2!B94,DS_GIAOVIEN!B:B,0),1)</f>
        <v>Nguyễn Tiến Mạnh</v>
      </c>
    </row>
    <row r="95" spans="1:4" x14ac:dyDescent="0.25">
      <c r="A95" s="20">
        <v>4</v>
      </c>
      <c r="B95" s="21" t="s">
        <v>156</v>
      </c>
      <c r="C95" s="22">
        <v>35.5</v>
      </c>
      <c r="D95" s="7" t="str">
        <f>INDEX(DS_GIAOVIEN!B:B,MATCH(COI_CHAM_HK2!B95,DS_GIAOVIEN!B:B,0),1)</f>
        <v>Trần Văn Hương</v>
      </c>
    </row>
    <row r="96" spans="1:4" x14ac:dyDescent="0.25">
      <c r="A96" s="20">
        <v>4</v>
      </c>
      <c r="B96" s="21" t="s">
        <v>212</v>
      </c>
      <c r="C96" s="22">
        <v>16.7</v>
      </c>
      <c r="D96" s="7" t="str">
        <f>INDEX(DS_GIAOVIEN!B:B,MATCH(COI_CHAM_HK2!B96,DS_GIAOVIEN!B:B,0),1)</f>
        <v>Võ Anh Vũ</v>
      </c>
    </row>
    <row r="97" spans="1:4" x14ac:dyDescent="0.25">
      <c r="A97" s="2">
        <v>4</v>
      </c>
      <c r="B97" s="1" t="s">
        <v>157</v>
      </c>
      <c r="C97" s="3">
        <v>38</v>
      </c>
      <c r="D97" s="5" t="e">
        <f>INDEX(DS_GIAOVIEN!B:B,MATCH(COI_CHAM_HK2!B97,DS_GIAOVIEN!B:B,0),1)</f>
        <v>#N/A</v>
      </c>
    </row>
    <row r="98" spans="1:4" x14ac:dyDescent="0.25">
      <c r="A98" s="2">
        <v>4</v>
      </c>
      <c r="B98" s="1" t="s">
        <v>158</v>
      </c>
      <c r="C98" s="3">
        <v>37.799999999999997</v>
      </c>
      <c r="D98" s="5" t="e">
        <f>INDEX(DS_GIAOVIEN!B:B,MATCH(COI_CHAM_HK2!B98,DS_GIAOVIEN!B:B,0),1)</f>
        <v>#N/A</v>
      </c>
    </row>
    <row r="99" spans="1:4" x14ac:dyDescent="0.25">
      <c r="A99" s="2">
        <v>4</v>
      </c>
      <c r="B99" s="1" t="s">
        <v>159</v>
      </c>
      <c r="C99" s="3">
        <v>18.899999999999999</v>
      </c>
      <c r="D99" s="5" t="e">
        <f>INDEX(DS_GIAOVIEN!B:B,MATCH(COI_CHAM_HK2!B99,DS_GIAOVIEN!B:B,0),1)</f>
        <v>#N/A</v>
      </c>
    </row>
    <row r="100" spans="1:4" x14ac:dyDescent="0.25">
      <c r="A100" s="20">
        <v>4</v>
      </c>
      <c r="B100" s="21" t="s">
        <v>160</v>
      </c>
      <c r="C100" s="22">
        <v>11.9</v>
      </c>
      <c r="D100" s="7" t="str">
        <f>INDEX(DS_GIAOVIEN!B:B,MATCH(COI_CHAM_HK2!B100,DS_GIAOVIEN!B:B,0),1)</f>
        <v>Mai Văn Hân</v>
      </c>
    </row>
    <row r="101" spans="1:4" x14ac:dyDescent="0.25">
      <c r="A101" s="20">
        <v>5</v>
      </c>
      <c r="B101" s="21" t="s">
        <v>82</v>
      </c>
      <c r="C101" s="22">
        <v>13.7</v>
      </c>
      <c r="D101" s="7" t="str">
        <f>INDEX(DS_GIAOVIEN!B:B,MATCH(COI_CHAM_HK2!B101,DS_GIAOVIEN!B:B,0),1)</f>
        <v>Huỳnh Ngọc Tùng</v>
      </c>
    </row>
    <row r="102" spans="1:4" x14ac:dyDescent="0.25">
      <c r="A102" s="20">
        <v>5</v>
      </c>
      <c r="B102" s="21" t="s">
        <v>161</v>
      </c>
      <c r="C102" s="22">
        <v>17.899999999999999</v>
      </c>
      <c r="D102" s="7" t="str">
        <f>INDEX(DS_GIAOVIEN!B:B,MATCH(COI_CHAM_HK2!B102,DS_GIAOVIEN!B:B,0),1)</f>
        <v>Phạm Minh Tuấn</v>
      </c>
    </row>
    <row r="103" spans="1:4" x14ac:dyDescent="0.25">
      <c r="A103" s="20">
        <v>5</v>
      </c>
      <c r="B103" s="21" t="s">
        <v>66</v>
      </c>
      <c r="C103" s="22">
        <v>35.6</v>
      </c>
      <c r="D103" s="7" t="str">
        <f>INDEX(DS_GIAOVIEN!B:B,MATCH(COI_CHAM_HK2!B103,DS_GIAOVIEN!B:B,0),1)</f>
        <v>Nguyễn Anh Duy</v>
      </c>
    </row>
    <row r="104" spans="1:4" x14ac:dyDescent="0.25">
      <c r="A104" s="20">
        <v>5</v>
      </c>
      <c r="B104" s="21" t="s">
        <v>58</v>
      </c>
      <c r="C104" s="22">
        <v>21.099999999999998</v>
      </c>
      <c r="D104" s="7" t="str">
        <f>INDEX(DS_GIAOVIEN!B:B,MATCH(COI_CHAM_HK2!B104,DS_GIAOVIEN!B:B,0),1)</f>
        <v>Phạm Xuân Vinh</v>
      </c>
    </row>
    <row r="105" spans="1:4" x14ac:dyDescent="0.25">
      <c r="A105" s="20">
        <v>5</v>
      </c>
      <c r="B105" s="21" t="s">
        <v>36</v>
      </c>
      <c r="C105" s="22">
        <v>21.6</v>
      </c>
      <c r="D105" s="7" t="str">
        <f>INDEX(DS_GIAOVIEN!B:B,MATCH(COI_CHAM_HK2!B105,DS_GIAOVIEN!B:B,0),1)</f>
        <v>Hồ Đức Nhân</v>
      </c>
    </row>
    <row r="106" spans="1:4" x14ac:dyDescent="0.25">
      <c r="A106" s="20">
        <v>5</v>
      </c>
      <c r="B106" s="21" t="s">
        <v>51</v>
      </c>
      <c r="C106" s="22">
        <v>22.999999999999996</v>
      </c>
      <c r="D106" s="7" t="str">
        <f>INDEX(DS_GIAOVIEN!B:B,MATCH(COI_CHAM_HK2!B106,DS_GIAOVIEN!B:B,0),1)</f>
        <v>Nguyễn Viết Nông</v>
      </c>
    </row>
    <row r="107" spans="1:4" x14ac:dyDescent="0.25">
      <c r="A107" s="20">
        <v>5</v>
      </c>
      <c r="B107" s="21" t="s">
        <v>162</v>
      </c>
      <c r="C107" s="22">
        <v>25.2</v>
      </c>
      <c r="D107" s="7" t="str">
        <f>INDEX(DS_GIAOVIEN!B:B,MATCH(COI_CHAM_HK2!B107,DS_GIAOVIEN!B:B,0),1)</f>
        <v>Cao Tiến Nam</v>
      </c>
    </row>
    <row r="108" spans="1:4" x14ac:dyDescent="0.25">
      <c r="A108" s="20">
        <v>5</v>
      </c>
      <c r="B108" s="21" t="s">
        <v>163</v>
      </c>
      <c r="C108" s="22">
        <v>20.6</v>
      </c>
      <c r="D108" s="7" t="str">
        <f>INDEX(DS_GIAOVIEN!B:B,MATCH(COI_CHAM_HK2!B108,DS_GIAOVIEN!B:B,0),1)</f>
        <v>Chu Văn Đức</v>
      </c>
    </row>
    <row r="109" spans="1:4" x14ac:dyDescent="0.25">
      <c r="A109" s="20">
        <v>5</v>
      </c>
      <c r="B109" s="21" t="s">
        <v>35</v>
      </c>
      <c r="C109" s="22">
        <v>17.2</v>
      </c>
      <c r="D109" s="7" t="str">
        <f>INDEX(DS_GIAOVIEN!B:B,MATCH(COI_CHAM_HK2!B109,DS_GIAOVIEN!B:B,0),1)</f>
        <v>Phạm Quốc Lập</v>
      </c>
    </row>
    <row r="110" spans="1:4" x14ac:dyDescent="0.25">
      <c r="A110" s="20">
        <v>5</v>
      </c>
      <c r="B110" s="21" t="s">
        <v>71</v>
      </c>
      <c r="C110" s="22">
        <v>16.799999999999997</v>
      </c>
      <c r="D110" s="7" t="str">
        <f>INDEX(DS_GIAOVIEN!B:B,MATCH(COI_CHAM_HK2!B110,DS_GIAOVIEN!B:B,0),1)</f>
        <v>Dương Hồng Phước</v>
      </c>
    </row>
    <row r="111" spans="1:4" x14ac:dyDescent="0.25">
      <c r="A111" s="20">
        <v>5</v>
      </c>
      <c r="B111" s="21" t="s">
        <v>53</v>
      </c>
      <c r="C111" s="22">
        <v>36.100000000000009</v>
      </c>
      <c r="D111" s="7" t="str">
        <f>INDEX(DS_GIAOVIEN!B:B,MATCH(COI_CHAM_HK2!B111,DS_GIAOVIEN!B:B,0),1)</f>
        <v>Nguyễn Thị Hải</v>
      </c>
    </row>
    <row r="112" spans="1:4" x14ac:dyDescent="0.25">
      <c r="A112" s="20">
        <v>5</v>
      </c>
      <c r="B112" s="21" t="s">
        <v>38</v>
      </c>
      <c r="C112" s="22">
        <v>25.6</v>
      </c>
      <c r="D112" s="7" t="str">
        <f>INDEX(DS_GIAOVIEN!B:B,MATCH(COI_CHAM_HK2!B112,DS_GIAOVIEN!B:B,0),1)</f>
        <v>Hồ Văn Thông</v>
      </c>
    </row>
    <row r="113" spans="1:4" x14ac:dyDescent="0.25">
      <c r="A113" s="20">
        <v>5</v>
      </c>
      <c r="B113" s="21" t="s">
        <v>55</v>
      </c>
      <c r="C113" s="22">
        <v>37.4</v>
      </c>
      <c r="D113" s="7" t="str">
        <f>INDEX(DS_GIAOVIEN!B:B,MATCH(COI_CHAM_HK2!B113,DS_GIAOVIEN!B:B,0),1)</f>
        <v>Nguyễn Văn Công</v>
      </c>
    </row>
    <row r="114" spans="1:4" x14ac:dyDescent="0.25">
      <c r="A114" s="20">
        <v>5</v>
      </c>
      <c r="B114" s="21" t="s">
        <v>164</v>
      </c>
      <c r="C114" s="22">
        <v>55.899999999999991</v>
      </c>
      <c r="D114" s="7" t="str">
        <f>INDEX(DS_GIAOVIEN!B:B,MATCH(COI_CHAM_HK2!B114,DS_GIAOVIEN!B:B,0),1)</f>
        <v>Đinh Thị Yến</v>
      </c>
    </row>
    <row r="115" spans="1:4" x14ac:dyDescent="0.25">
      <c r="A115" s="20">
        <v>5</v>
      </c>
      <c r="B115" s="21" t="s">
        <v>52</v>
      </c>
      <c r="C115" s="22">
        <v>23.9</v>
      </c>
      <c r="D115" s="7" t="str">
        <f>INDEX(DS_GIAOVIEN!B:B,MATCH(COI_CHAM_HK2!B115,DS_GIAOVIEN!B:B,0),1)</f>
        <v>Phan Tấn Đạt</v>
      </c>
    </row>
    <row r="116" spans="1:4" x14ac:dyDescent="0.25">
      <c r="A116" s="20">
        <v>5</v>
      </c>
      <c r="B116" s="21" t="s">
        <v>43</v>
      </c>
      <c r="C116" s="22">
        <v>22.7</v>
      </c>
      <c r="D116" s="7" t="str">
        <f>INDEX(DS_GIAOVIEN!B:B,MATCH(COI_CHAM_HK2!B116,DS_GIAOVIEN!B:B,0),1)</f>
        <v>Trần Văn Nhàn</v>
      </c>
    </row>
    <row r="117" spans="1:4" x14ac:dyDescent="0.25">
      <c r="A117" s="20">
        <v>5</v>
      </c>
      <c r="B117" s="21" t="s">
        <v>42</v>
      </c>
      <c r="C117" s="22">
        <v>59.5</v>
      </c>
      <c r="D117" s="7" t="str">
        <f>INDEX(DS_GIAOVIEN!B:B,MATCH(COI_CHAM_HK2!B117,DS_GIAOVIEN!B:B,0),1)</f>
        <v>Lê Thị Minh Thùy</v>
      </c>
    </row>
    <row r="118" spans="1:4" x14ac:dyDescent="0.25">
      <c r="A118" s="20">
        <v>5</v>
      </c>
      <c r="B118" s="21" t="s">
        <v>54</v>
      </c>
      <c r="C118" s="22">
        <v>17.2</v>
      </c>
      <c r="D118" s="7" t="str">
        <f>INDEX(DS_GIAOVIEN!B:B,MATCH(COI_CHAM_HK2!B118,DS_GIAOVIEN!B:B,0),1)</f>
        <v>La Văn Nam</v>
      </c>
    </row>
    <row r="119" spans="1:4" x14ac:dyDescent="0.25">
      <c r="A119" s="20">
        <v>5</v>
      </c>
      <c r="B119" s="21" t="s">
        <v>74</v>
      </c>
      <c r="C119" s="22">
        <v>7.8</v>
      </c>
      <c r="D119" s="7" t="str">
        <f>INDEX(DS_GIAOVIEN!B:B,MATCH(COI_CHAM_HK2!B119,DS_GIAOVIEN!B:B,0),1)</f>
        <v>Nguyễn Anh Vinh</v>
      </c>
    </row>
    <row r="120" spans="1:4" x14ac:dyDescent="0.25">
      <c r="A120" s="20">
        <v>5</v>
      </c>
      <c r="B120" s="21" t="s">
        <v>165</v>
      </c>
      <c r="C120" s="22">
        <v>50.800000000000004</v>
      </c>
      <c r="D120" s="7" t="str">
        <f>INDEX(DS_GIAOVIEN!B:B,MATCH(COI_CHAM_HK2!B120,DS_GIAOVIEN!B:B,0),1)</f>
        <v>Nghiêm Thị Phượng</v>
      </c>
    </row>
    <row r="121" spans="1:4" x14ac:dyDescent="0.25">
      <c r="A121" s="20">
        <v>5</v>
      </c>
      <c r="B121" s="21" t="s">
        <v>65</v>
      </c>
      <c r="C121" s="22">
        <v>21.2</v>
      </c>
      <c r="D121" s="7" t="str">
        <f>INDEX(DS_GIAOVIEN!B:B,MATCH(COI_CHAM_HK2!B121,DS_GIAOVIEN!B:B,0),1)</f>
        <v>Võ Thị Cẩm Thơ</v>
      </c>
    </row>
    <row r="122" spans="1:4" x14ac:dyDescent="0.25">
      <c r="A122" s="20">
        <v>5</v>
      </c>
      <c r="B122" s="21" t="s">
        <v>101</v>
      </c>
      <c r="C122" s="22">
        <v>32.6</v>
      </c>
      <c r="D122" s="7" t="str">
        <f>INDEX(DS_GIAOVIEN!B:B,MATCH(COI_CHAM_HK2!B122,DS_GIAOVIEN!B:B,0),1)</f>
        <v>Cao Xuân Cường</v>
      </c>
    </row>
    <row r="123" spans="1:4" x14ac:dyDescent="0.25">
      <c r="A123" s="20">
        <v>5</v>
      </c>
      <c r="B123" s="21" t="s">
        <v>99</v>
      </c>
      <c r="C123" s="22">
        <v>48</v>
      </c>
      <c r="D123" s="7" t="str">
        <f>INDEX(DS_GIAOVIEN!B:B,MATCH(COI_CHAM_HK2!B123,DS_GIAOVIEN!B:B,0),1)</f>
        <v>Phạm Văn Nguyên</v>
      </c>
    </row>
    <row r="124" spans="1:4" x14ac:dyDescent="0.25">
      <c r="A124" s="20">
        <v>5</v>
      </c>
      <c r="B124" s="21" t="s">
        <v>56</v>
      </c>
      <c r="C124" s="22">
        <v>24</v>
      </c>
      <c r="D124" s="7" t="str">
        <f>INDEX(DS_GIAOVIEN!B:B,MATCH(COI_CHAM_HK2!B124,DS_GIAOVIEN!B:B,0),1)</f>
        <v>Nguyễn Xuân Nguyên</v>
      </c>
    </row>
    <row r="125" spans="1:4" x14ac:dyDescent="0.25">
      <c r="A125" s="20">
        <v>5</v>
      </c>
      <c r="B125" s="21" t="s">
        <v>100</v>
      </c>
      <c r="C125" s="22">
        <v>30</v>
      </c>
      <c r="D125" s="7" t="str">
        <f>INDEX(DS_GIAOVIEN!B:B,MATCH(COI_CHAM_HK2!B125,DS_GIAOVIEN!B:B,0),1)</f>
        <v>Trần Ngọc Sơn Hùng</v>
      </c>
    </row>
    <row r="126" spans="1:4" x14ac:dyDescent="0.25">
      <c r="A126" s="20">
        <v>5</v>
      </c>
      <c r="B126" s="21" t="s">
        <v>57</v>
      </c>
      <c r="C126" s="22">
        <v>28.6</v>
      </c>
      <c r="D126" s="7" t="str">
        <f>INDEX(DS_GIAOVIEN!B:B,MATCH(COI_CHAM_HK2!B126,DS_GIAOVIEN!B:B,0),1)</f>
        <v>Nguyễn Văn Chính</v>
      </c>
    </row>
    <row r="127" spans="1:4" x14ac:dyDescent="0.25">
      <c r="A127" s="20">
        <v>5</v>
      </c>
      <c r="B127" s="21" t="s">
        <v>37</v>
      </c>
      <c r="C127" s="22">
        <v>30.799999999999997</v>
      </c>
      <c r="D127" s="7" t="str">
        <f>INDEX(DS_GIAOVIEN!B:B,MATCH(COI_CHAM_HK2!B127,DS_GIAOVIEN!B:B,0),1)</f>
        <v>Đào Minh Thủy</v>
      </c>
    </row>
    <row r="128" spans="1:4" x14ac:dyDescent="0.25">
      <c r="A128" s="20">
        <v>5</v>
      </c>
      <c r="B128" s="21" t="s">
        <v>118</v>
      </c>
      <c r="C128" s="22">
        <v>7.8</v>
      </c>
      <c r="D128" s="7" t="str">
        <f>INDEX(DS_GIAOVIEN!B:B,MATCH(COI_CHAM_HK2!B128,DS_GIAOVIEN!B:B,0),1)</f>
        <v>Trương Võ Thành</v>
      </c>
    </row>
    <row r="129" spans="1:4" x14ac:dyDescent="0.25">
      <c r="A129" s="20">
        <v>5</v>
      </c>
      <c r="B129" s="21" t="s">
        <v>166</v>
      </c>
      <c r="C129" s="22">
        <v>7.8000000000000007</v>
      </c>
      <c r="D129" s="7" t="str">
        <f>INDEX(DS_GIAOVIEN!B:B,MATCH(COI_CHAM_HK2!B129,DS_GIAOVIEN!B:B,0),1)</f>
        <v>Lưu Anh Tuấn</v>
      </c>
    </row>
    <row r="130" spans="1:4" x14ac:dyDescent="0.25">
      <c r="A130" s="20">
        <v>5</v>
      </c>
      <c r="B130" s="21" t="s">
        <v>167</v>
      </c>
      <c r="C130" s="22">
        <v>5.7</v>
      </c>
      <c r="D130" s="7" t="str">
        <f>INDEX(DS_GIAOVIEN!B:B,MATCH(COI_CHAM_HK2!B130,DS_GIAOVIEN!B:B,0),1)</f>
        <v>Nguyễn Hồng Quân</v>
      </c>
    </row>
    <row r="131" spans="1:4" x14ac:dyDescent="0.25">
      <c r="A131" s="20">
        <v>6</v>
      </c>
      <c r="B131" s="21" t="s">
        <v>19</v>
      </c>
      <c r="C131" s="22">
        <v>26.9</v>
      </c>
      <c r="D131" s="7" t="str">
        <f>INDEX(DS_GIAOVIEN!B:B,MATCH(COI_CHAM_HK2!B131,DS_GIAOVIEN!B:B,0),1)</f>
        <v>Đào Xuân Quỳnh</v>
      </c>
    </row>
    <row r="132" spans="1:4" x14ac:dyDescent="0.25">
      <c r="A132" s="20">
        <v>6</v>
      </c>
      <c r="B132" s="21" t="s">
        <v>7</v>
      </c>
      <c r="C132" s="22">
        <v>53.70000000000001</v>
      </c>
      <c r="D132" s="7" t="str">
        <f>INDEX(DS_GIAOVIEN!B:B,MATCH(COI_CHAM_HK2!B132,DS_GIAOVIEN!B:B,0),1)</f>
        <v>Lê Ngọc Trung</v>
      </c>
    </row>
    <row r="133" spans="1:4" x14ac:dyDescent="0.25">
      <c r="A133" s="20">
        <v>6</v>
      </c>
      <c r="B133" s="21" t="s">
        <v>8</v>
      </c>
      <c r="C133" s="22">
        <v>26.2</v>
      </c>
      <c r="D133" s="7" t="str">
        <f>INDEX(DS_GIAOVIEN!B:B,MATCH(COI_CHAM_HK2!B133,DS_GIAOVIEN!B:B,0),1)</f>
        <v>Lâm Đức Sơn</v>
      </c>
    </row>
    <row r="134" spans="1:4" x14ac:dyDescent="0.25">
      <c r="A134" s="20">
        <v>6</v>
      </c>
      <c r="B134" s="21" t="s">
        <v>104</v>
      </c>
      <c r="C134" s="22">
        <v>28.6</v>
      </c>
      <c r="D134" s="7" t="str">
        <f>INDEX(DS_GIAOVIEN!B:B,MATCH(COI_CHAM_HK2!B134,DS_GIAOVIEN!B:B,0),1)</f>
        <v>Lê Khánh Toàn</v>
      </c>
    </row>
    <row r="135" spans="1:4" x14ac:dyDescent="0.25">
      <c r="A135" s="20">
        <v>6</v>
      </c>
      <c r="B135" s="21" t="s">
        <v>20</v>
      </c>
      <c r="C135" s="22">
        <v>42.300000000000004</v>
      </c>
      <c r="D135" s="7" t="str">
        <f>INDEX(DS_GIAOVIEN!B:B,MATCH(COI_CHAM_HK2!B135,DS_GIAOVIEN!B:B,0),1)</f>
        <v>Trương Minh Trí</v>
      </c>
    </row>
    <row r="136" spans="1:4" x14ac:dyDescent="0.25">
      <c r="A136" s="20">
        <v>6</v>
      </c>
      <c r="B136" s="21" t="s">
        <v>21</v>
      </c>
      <c r="C136" s="22">
        <v>11.4</v>
      </c>
      <c r="D136" s="7" t="str">
        <f>INDEX(DS_GIAOVIEN!B:B,MATCH(COI_CHAM_HK2!B136,DS_GIAOVIEN!B:B,0),1)</f>
        <v>Nguyễn Xuân Vỹ</v>
      </c>
    </row>
    <row r="137" spans="1:4" x14ac:dyDescent="0.25">
      <c r="A137" s="20">
        <v>6</v>
      </c>
      <c r="B137" s="21" t="s">
        <v>13</v>
      </c>
      <c r="C137" s="22">
        <v>22.900000000000002</v>
      </c>
      <c r="D137" s="7" t="str">
        <f>INDEX(DS_GIAOVIEN!B:B,MATCH(COI_CHAM_HK2!B137,DS_GIAOVIEN!B:B,0),1)</f>
        <v>Nguyễn Thị Thu Hà</v>
      </c>
    </row>
    <row r="138" spans="1:4" x14ac:dyDescent="0.25">
      <c r="A138" s="20">
        <v>6</v>
      </c>
      <c r="B138" s="21" t="s">
        <v>107</v>
      </c>
      <c r="C138" s="22">
        <v>60</v>
      </c>
      <c r="D138" s="7" t="str">
        <f>INDEX(DS_GIAOVIEN!B:B,MATCH(COI_CHAM_HK2!B138,DS_GIAOVIEN!B:B,0),1)</f>
        <v>Nguyễn Thị Lạc Việt</v>
      </c>
    </row>
    <row r="139" spans="1:4" x14ac:dyDescent="0.25">
      <c r="A139" s="20">
        <v>6</v>
      </c>
      <c r="B139" s="21" t="s">
        <v>108</v>
      </c>
      <c r="C139" s="22">
        <v>52.599999999999994</v>
      </c>
      <c r="D139" s="7" t="str">
        <f>INDEX(DS_GIAOVIEN!B:B,MATCH(COI_CHAM_HK2!B139,DS_GIAOVIEN!B:B,0),1)</f>
        <v>Thân Thị Chung</v>
      </c>
    </row>
    <row r="140" spans="1:4" x14ac:dyDescent="0.25">
      <c r="A140" s="20">
        <v>6</v>
      </c>
      <c r="B140" s="21" t="s">
        <v>119</v>
      </c>
      <c r="C140" s="22">
        <v>23.9</v>
      </c>
      <c r="D140" s="7" t="str">
        <f>INDEX(DS_GIAOVIEN!B:B,MATCH(COI_CHAM_HK2!B140,DS_GIAOVIEN!B:B,0),1)</f>
        <v>Nguyễn Thị Bích Ngọc</v>
      </c>
    </row>
    <row r="141" spans="1:4" x14ac:dyDescent="0.25">
      <c r="A141" s="20">
        <v>6</v>
      </c>
      <c r="B141" s="21" t="s">
        <v>27</v>
      </c>
      <c r="C141" s="22">
        <v>21.4</v>
      </c>
      <c r="D141" s="7" t="str">
        <f>INDEX(DS_GIAOVIEN!B:B,MATCH(COI_CHAM_HK2!B141,DS_GIAOVIEN!B:B,0),1)</f>
        <v>Lê Thị Hạnh Phúc</v>
      </c>
    </row>
    <row r="142" spans="1:4" x14ac:dyDescent="0.25">
      <c r="A142" s="20">
        <v>6</v>
      </c>
      <c r="B142" s="21" t="s">
        <v>28</v>
      </c>
      <c r="C142" s="22">
        <v>23.100000000000005</v>
      </c>
      <c r="D142" s="7" t="str">
        <f>INDEX(DS_GIAOVIEN!B:B,MATCH(COI_CHAM_HK2!B142,DS_GIAOVIEN!B:B,0),1)</f>
        <v>Nguyễn Thị Hải Yến</v>
      </c>
    </row>
    <row r="143" spans="1:4" x14ac:dyDescent="0.25">
      <c r="A143" s="20">
        <v>6</v>
      </c>
      <c r="B143" s="21" t="s">
        <v>25</v>
      </c>
      <c r="C143" s="22">
        <v>8.4</v>
      </c>
      <c r="D143" s="7" t="str">
        <f>INDEX(DS_GIAOVIEN!B:B,MATCH(COI_CHAM_HK2!B143,DS_GIAOVIEN!B:B,0),1)</f>
        <v>Đỗ Thị Quỳnh Anh</v>
      </c>
    </row>
    <row r="144" spans="1:4" x14ac:dyDescent="0.25">
      <c r="A144" s="20">
        <v>6</v>
      </c>
      <c r="B144" s="21" t="s">
        <v>26</v>
      </c>
      <c r="C144" s="22">
        <v>9.4</v>
      </c>
      <c r="D144" s="7" t="str">
        <f>INDEX(DS_GIAOVIEN!B:B,MATCH(COI_CHAM_HK2!B144,DS_GIAOVIEN!B:B,0),1)</f>
        <v>Y Joen Niê Kdăm</v>
      </c>
    </row>
    <row r="145" spans="1:4" x14ac:dyDescent="0.25">
      <c r="A145" s="20">
        <v>6</v>
      </c>
      <c r="B145" s="21" t="s">
        <v>106</v>
      </c>
      <c r="C145" s="22">
        <v>29.199999999999996</v>
      </c>
      <c r="D145" s="7" t="str">
        <f>INDEX(DS_GIAOVIEN!B:B,MATCH(COI_CHAM_HK2!B145,DS_GIAOVIEN!B:B,0),1)</f>
        <v>H Chel H' Mok</v>
      </c>
    </row>
    <row r="146" spans="1:4" x14ac:dyDescent="0.25">
      <c r="A146" s="20">
        <v>6</v>
      </c>
      <c r="B146" s="21" t="s">
        <v>23</v>
      </c>
      <c r="C146" s="22">
        <v>17.2</v>
      </c>
      <c r="D146" s="7" t="str">
        <f>INDEX(DS_GIAOVIEN!B:B,MATCH(COI_CHAM_HK2!B146,DS_GIAOVIEN!B:B,0),1)</f>
        <v>Nguyễn Như Trung</v>
      </c>
    </row>
    <row r="147" spans="1:4" x14ac:dyDescent="0.25">
      <c r="A147" s="20">
        <v>6</v>
      </c>
      <c r="B147" s="21" t="s">
        <v>105</v>
      </c>
      <c r="C147" s="22">
        <v>40</v>
      </c>
      <c r="D147" s="7" t="str">
        <f>INDEX(DS_GIAOVIEN!B:B,MATCH(COI_CHAM_HK2!B147,DS_GIAOVIEN!B:B,0),1)</f>
        <v>Trịnh Thị Thảo Quyên</v>
      </c>
    </row>
    <row r="148" spans="1:4" x14ac:dyDescent="0.25">
      <c r="A148" s="20">
        <v>6</v>
      </c>
      <c r="B148" s="21" t="s">
        <v>102</v>
      </c>
      <c r="C148" s="22">
        <v>13.200000000000001</v>
      </c>
      <c r="D148" s="7" t="str">
        <f>INDEX(DS_GIAOVIEN!B:B,MATCH(COI_CHAM_HK2!B148,DS_GIAOVIEN!B:B,0),1)</f>
        <v>Đặng Văn Dung</v>
      </c>
    </row>
    <row r="149" spans="1:4" x14ac:dyDescent="0.25">
      <c r="A149" s="20">
        <v>6</v>
      </c>
      <c r="B149" s="21" t="s">
        <v>103</v>
      </c>
      <c r="C149" s="22">
        <v>10.700000000000001</v>
      </c>
      <c r="D149" s="7" t="str">
        <f>INDEX(DS_GIAOVIEN!B:B,MATCH(COI_CHAM_HK2!B149,DS_GIAOVIEN!B:B,0),1)</f>
        <v>Nguyễn Trung Kiên</v>
      </c>
    </row>
    <row r="150" spans="1:4" x14ac:dyDescent="0.25">
      <c r="A150" s="20">
        <v>6</v>
      </c>
      <c r="B150" s="21" t="s">
        <v>22</v>
      </c>
      <c r="C150" s="22">
        <v>49.099999999999994</v>
      </c>
      <c r="D150" s="7" t="str">
        <f>INDEX(DS_GIAOVIEN!B:B,MATCH(COI_CHAM_HK2!B150,DS_GIAOVIEN!B:B,0),1)</f>
        <v>Hoàng Trung Kiên</v>
      </c>
    </row>
    <row r="151" spans="1:4" x14ac:dyDescent="0.25">
      <c r="A151" s="20">
        <v>6</v>
      </c>
      <c r="B151" s="21" t="s">
        <v>247</v>
      </c>
      <c r="C151" s="22">
        <v>9.6999999999999993</v>
      </c>
      <c r="D151" s="7" t="str">
        <f>INDEX(DS_GIAOVIEN!B:B,MATCH(COI_CHAM_HK2!B151,DS_GIAOVIEN!B:B,0),1)</f>
        <v>Lê Nữ Hòa</v>
      </c>
    </row>
    <row r="152" spans="1:4" x14ac:dyDescent="0.25">
      <c r="A152" s="20">
        <v>7</v>
      </c>
      <c r="B152" s="21" t="s">
        <v>117</v>
      </c>
      <c r="C152" s="22">
        <v>17.2</v>
      </c>
      <c r="D152" s="7" t="str">
        <f>INDEX(DS_GIAOVIEN!B:B,MATCH(COI_CHAM_HK2!B152,DS_GIAOVIEN!B:B,0),1)</f>
        <v>Phạm Văn Quang</v>
      </c>
    </row>
    <row r="153" spans="1:4" x14ac:dyDescent="0.25">
      <c r="A153" s="20">
        <v>7</v>
      </c>
      <c r="B153" s="21" t="s">
        <v>168</v>
      </c>
      <c r="C153" s="22">
        <v>13.7</v>
      </c>
      <c r="D153" s="7" t="str">
        <f>INDEX(DS_GIAOVIEN!B:B,MATCH(COI_CHAM_HK2!B153,DS_GIAOVIEN!B:B,0),1)</f>
        <v>Phan Bằng Thạch</v>
      </c>
    </row>
    <row r="154" spans="1:4" x14ac:dyDescent="0.25">
      <c r="A154" s="20">
        <v>7</v>
      </c>
      <c r="B154" s="21" t="s">
        <v>111</v>
      </c>
      <c r="C154" s="22">
        <v>5.2</v>
      </c>
      <c r="D154" s="7" t="str">
        <f>INDEX(DS_GIAOVIEN!B:B,MATCH(COI_CHAM_HK2!B154,DS_GIAOVIEN!B:B,0),1)</f>
        <v>Vũ Thị Hoài Thanh</v>
      </c>
    </row>
    <row r="155" spans="1:4" x14ac:dyDescent="0.25">
      <c r="A155" s="20">
        <v>7</v>
      </c>
      <c r="B155" s="21" t="s">
        <v>169</v>
      </c>
      <c r="C155" s="22">
        <v>8.5</v>
      </c>
      <c r="D155" s="7" t="str">
        <f>INDEX(DS_GIAOVIEN!B:B,MATCH(COI_CHAM_HK2!B155,DS_GIAOVIEN!B:B,0),1)</f>
        <v>Trần Thị Thơ</v>
      </c>
    </row>
    <row r="156" spans="1:4" x14ac:dyDescent="0.25">
      <c r="A156" s="20">
        <v>7</v>
      </c>
      <c r="B156" s="21" t="s">
        <v>89</v>
      </c>
      <c r="C156" s="22">
        <v>31.199999999999996</v>
      </c>
      <c r="D156" s="7" t="str">
        <f>INDEX(DS_GIAOVIEN!B:B,MATCH(COI_CHAM_HK2!B156,DS_GIAOVIEN!B:B,0),1)</f>
        <v>Ngô Thị Mỹ Hạnh</v>
      </c>
    </row>
    <row r="157" spans="1:4" x14ac:dyDescent="0.25">
      <c r="A157" s="20">
        <v>7</v>
      </c>
      <c r="B157" s="21" t="s">
        <v>31</v>
      </c>
      <c r="C157" s="22">
        <v>19.399999999999999</v>
      </c>
      <c r="D157" s="7" t="str">
        <f>INDEX(DS_GIAOVIEN!B:B,MATCH(COI_CHAM_HK2!B157,DS_GIAOVIEN!B:B,0),1)</f>
        <v>Nguyễn Thị Hồng Phương</v>
      </c>
    </row>
    <row r="158" spans="1:4" x14ac:dyDescent="0.25">
      <c r="A158" s="20">
        <v>7</v>
      </c>
      <c r="B158" s="21" t="s">
        <v>109</v>
      </c>
      <c r="C158" s="22">
        <v>27</v>
      </c>
      <c r="D158" s="7" t="str">
        <f>INDEX(DS_GIAOVIEN!B:B,MATCH(COI_CHAM_HK2!B158,DS_GIAOVIEN!B:B,0),1)</f>
        <v>Phạm Tiến Thành</v>
      </c>
    </row>
    <row r="159" spans="1:4" x14ac:dyDescent="0.25">
      <c r="A159" s="20">
        <v>7</v>
      </c>
      <c r="B159" s="21" t="s">
        <v>124</v>
      </c>
      <c r="C159" s="22">
        <v>19.5</v>
      </c>
      <c r="D159" s="7" t="str">
        <f>INDEX(DS_GIAOVIEN!B:B,MATCH(COI_CHAM_HK2!B159,DS_GIAOVIEN!B:B,0),1)</f>
        <v>H' Diện Niê</v>
      </c>
    </row>
    <row r="160" spans="1:4" x14ac:dyDescent="0.25">
      <c r="A160" s="20">
        <v>7</v>
      </c>
      <c r="B160" s="21" t="s">
        <v>228</v>
      </c>
      <c r="C160" s="22">
        <v>50.300000000000004</v>
      </c>
      <c r="D160" s="7" t="str">
        <f>INDEX(DS_GIAOVIEN!B:B,MATCH(COI_CHAM_HK2!B160,DS_GIAOVIEN!B:B,0),1)</f>
        <v>H' Bai Hmok</v>
      </c>
    </row>
    <row r="161" spans="1:4" x14ac:dyDescent="0.25">
      <c r="A161" s="20">
        <v>7</v>
      </c>
      <c r="B161" s="21" t="s">
        <v>110</v>
      </c>
      <c r="C161" s="22">
        <v>29.6</v>
      </c>
      <c r="D161" s="7" t="str">
        <f>INDEX(DS_GIAOVIEN!B:B,MATCH(COI_CHAM_HK2!B161,DS_GIAOVIEN!B:B,0),1)</f>
        <v>Trần Thị Thu Thúy</v>
      </c>
    </row>
    <row r="162" spans="1:4" x14ac:dyDescent="0.25">
      <c r="A162" s="20">
        <v>7</v>
      </c>
      <c r="B162" s="21" t="s">
        <v>32</v>
      </c>
      <c r="C162" s="22">
        <v>9</v>
      </c>
      <c r="D162" s="7" t="str">
        <f>INDEX(DS_GIAOVIEN!B:B,MATCH(COI_CHAM_HK2!B162,DS_GIAOVIEN!B:B,0),1)</f>
        <v>Trần Ngọc Điệp</v>
      </c>
    </row>
    <row r="163" spans="1:4" x14ac:dyDescent="0.25">
      <c r="A163" s="20">
        <v>7</v>
      </c>
      <c r="B163" s="21" t="s">
        <v>90</v>
      </c>
      <c r="C163" s="22">
        <v>16</v>
      </c>
      <c r="D163" s="7" t="str">
        <f>INDEX(DS_GIAOVIEN!B:B,MATCH(COI_CHAM_HK2!B163,DS_GIAOVIEN!B:B,0),1)</f>
        <v>Cao Nữ Việt Anh</v>
      </c>
    </row>
    <row r="164" spans="1:4" x14ac:dyDescent="0.25">
      <c r="A164" s="20">
        <v>7</v>
      </c>
      <c r="B164" s="21" t="s">
        <v>112</v>
      </c>
      <c r="C164" s="22">
        <v>22.199999999999996</v>
      </c>
      <c r="D164" s="7" t="str">
        <f>INDEX(DS_GIAOVIEN!B:B,MATCH(COI_CHAM_HK2!B164,DS_GIAOVIEN!B:B,0),1)</f>
        <v>Phan Thị Loan</v>
      </c>
    </row>
    <row r="165" spans="1:4" x14ac:dyDescent="0.25">
      <c r="A165" s="20">
        <v>7</v>
      </c>
      <c r="B165" s="21" t="s">
        <v>113</v>
      </c>
      <c r="C165" s="22">
        <v>19.299999999999997</v>
      </c>
      <c r="D165" s="7" t="str">
        <f>INDEX(DS_GIAOVIEN!B:B,MATCH(COI_CHAM_HK2!B165,DS_GIAOVIEN!B:B,0),1)</f>
        <v>Trịnh Thị Mỹ Hạnh</v>
      </c>
    </row>
    <row r="166" spans="1:4" x14ac:dyDescent="0.25">
      <c r="A166" s="20">
        <v>7</v>
      </c>
      <c r="B166" s="21" t="s">
        <v>93</v>
      </c>
      <c r="C166" s="22">
        <v>19.2</v>
      </c>
      <c r="D166" s="7" t="str">
        <f>INDEX(DS_GIAOVIEN!B:B,MATCH(COI_CHAM_HK2!B166,DS_GIAOVIEN!B:B,0),1)</f>
        <v>Hán Văn Trung</v>
      </c>
    </row>
    <row r="167" spans="1:4" x14ac:dyDescent="0.25">
      <c r="A167" s="20">
        <v>7</v>
      </c>
      <c r="B167" s="21" t="s">
        <v>94</v>
      </c>
      <c r="C167" s="22">
        <v>24.099999999999998</v>
      </c>
      <c r="D167" s="7" t="str">
        <f>INDEX(DS_GIAOVIEN!B:B,MATCH(COI_CHAM_HK2!B167,DS_GIAOVIEN!B:B,0),1)</f>
        <v>Nguyễn Thị Mộng Linh</v>
      </c>
    </row>
    <row r="168" spans="1:4" x14ac:dyDescent="0.25">
      <c r="A168" s="20">
        <v>7</v>
      </c>
      <c r="B168" s="21" t="s">
        <v>116</v>
      </c>
      <c r="C168" s="22">
        <v>6.5</v>
      </c>
      <c r="D168" s="7" t="str">
        <f>INDEX(DS_GIAOVIEN!B:B,MATCH(COI_CHAM_HK2!B168,DS_GIAOVIEN!B:B,0),1)</f>
        <v>Nguyễn Thị Phương</v>
      </c>
    </row>
    <row r="169" spans="1:4" x14ac:dyDescent="0.25">
      <c r="A169" s="20">
        <v>7</v>
      </c>
      <c r="B169" s="21" t="s">
        <v>170</v>
      </c>
      <c r="C169" s="22">
        <v>3</v>
      </c>
      <c r="D169" s="7" t="str">
        <f>INDEX(DS_GIAOVIEN!B:B,MATCH(COI_CHAM_HK2!B169,DS_GIAOVIEN!B:B,0),1)</f>
        <v>Lương Văn Cảnh</v>
      </c>
    </row>
    <row r="170" spans="1:4" x14ac:dyDescent="0.25">
      <c r="A170" s="20">
        <v>8</v>
      </c>
      <c r="B170" s="21" t="s">
        <v>138</v>
      </c>
      <c r="C170" s="4">
        <v>33.400000000000006</v>
      </c>
      <c r="D170" s="7" t="str">
        <f>INDEX(DS_GIAOVIEN!B:B,MATCH(COI_CHAM_HK2!B170,DS_GIAOVIEN!B:B,0),1)</f>
        <v>Nguyễn Thị Luyến</v>
      </c>
    </row>
    <row r="171" spans="1:4" x14ac:dyDescent="0.25">
      <c r="A171" s="20">
        <v>8</v>
      </c>
      <c r="B171" s="21" t="s">
        <v>171</v>
      </c>
      <c r="C171" s="4">
        <v>5.8</v>
      </c>
      <c r="D171" s="7" t="str">
        <f>INDEX(DS_GIAOVIEN!B:B,MATCH(COI_CHAM_HK2!B171,DS_GIAOVIEN!B:B,0),1)</f>
        <v>Nguyễn Đình Quý</v>
      </c>
    </row>
    <row r="172" spans="1:4" x14ac:dyDescent="0.25">
      <c r="A172" s="20">
        <v>8</v>
      </c>
      <c r="B172" s="21" t="s">
        <v>3</v>
      </c>
      <c r="C172" s="4">
        <v>39</v>
      </c>
      <c r="D172" s="7" t="str">
        <f>INDEX(DS_GIAOVIEN!B:B,MATCH(COI_CHAM_HK2!B172,DS_GIAOVIEN!B:B,0),1)</f>
        <v>Hồ Viết Thắng</v>
      </c>
    </row>
    <row r="173" spans="1:4" x14ac:dyDescent="0.25">
      <c r="A173" s="20">
        <v>8</v>
      </c>
      <c r="B173" s="21" t="s">
        <v>79</v>
      </c>
      <c r="C173" s="4">
        <v>5.8</v>
      </c>
      <c r="D173" s="7" t="str">
        <f>INDEX(DS_GIAOVIEN!B:B,MATCH(COI_CHAM_HK2!B173,DS_GIAOVIEN!B:B,0),1)</f>
        <v>Trương Văn Giản</v>
      </c>
    </row>
  </sheetData>
  <autoFilter ref="D1:D173" xr:uid="{7A983457-8DE5-4764-8CEC-55278A3A364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A8BD-B09C-40ED-9242-B1A44CA3C24E}">
  <dimension ref="A1:D121"/>
  <sheetViews>
    <sheetView topLeftCell="A96" zoomScaleNormal="100" workbookViewId="0">
      <selection activeCell="D2" sqref="D2"/>
    </sheetView>
  </sheetViews>
  <sheetFormatPr defaultRowHeight="13.8" x14ac:dyDescent="0.25"/>
  <cols>
    <col min="1" max="1" width="8.796875" style="36"/>
    <col min="2" max="2" width="28.19921875" customWidth="1"/>
    <col min="3" max="3" width="12.59765625" style="36" customWidth="1"/>
    <col min="4" max="4" width="21.69921875" customWidth="1"/>
  </cols>
  <sheetData>
    <row r="1" spans="1:4" ht="24" customHeight="1" x14ac:dyDescent="0.25">
      <c r="A1" s="16" t="s">
        <v>172</v>
      </c>
      <c r="B1" s="18" t="s">
        <v>1</v>
      </c>
      <c r="C1" s="17" t="s">
        <v>254</v>
      </c>
      <c r="D1" s="17" t="s">
        <v>250</v>
      </c>
    </row>
    <row r="2" spans="1:4" x14ac:dyDescent="0.25">
      <c r="A2" s="37">
        <v>1</v>
      </c>
      <c r="B2" s="38" t="s">
        <v>94</v>
      </c>
      <c r="C2" s="37">
        <f>13.5*4</f>
        <v>54</v>
      </c>
      <c r="D2" s="38" t="str">
        <f>INDEX(DS_GIAOVIEN!B:B,MATCH(B2,DS_GIAOVIEN!B:B,0),1)</f>
        <v>Nguyễn Thị Mộng Linh</v>
      </c>
    </row>
    <row r="3" spans="1:4" x14ac:dyDescent="0.25">
      <c r="A3" s="37">
        <v>2</v>
      </c>
      <c r="B3" s="38" t="s">
        <v>228</v>
      </c>
      <c r="C3" s="37">
        <f t="shared" ref="C3:C66" si="0">13.5*4</f>
        <v>54</v>
      </c>
      <c r="D3" s="38" t="str">
        <f>INDEX(DS_GIAOVIEN!B:B,MATCH(B3,DS_GIAOVIEN!B:B,0),1)</f>
        <v>H' Bai Hmok</v>
      </c>
    </row>
    <row r="4" spans="1:4" x14ac:dyDescent="0.25">
      <c r="A4" s="37">
        <v>3</v>
      </c>
      <c r="B4" s="38" t="s">
        <v>113</v>
      </c>
      <c r="C4" s="37">
        <f t="shared" si="0"/>
        <v>54</v>
      </c>
      <c r="D4" s="38" t="str">
        <f>INDEX(DS_GIAOVIEN!B:B,MATCH(B4,DS_GIAOVIEN!B:B,0),1)</f>
        <v>Trịnh Thị Mỹ Hạnh</v>
      </c>
    </row>
    <row r="5" spans="1:4" x14ac:dyDescent="0.25">
      <c r="A5" s="37">
        <v>4</v>
      </c>
      <c r="B5" s="38" t="s">
        <v>32</v>
      </c>
      <c r="C5" s="37">
        <f t="shared" si="0"/>
        <v>54</v>
      </c>
      <c r="D5" s="38" t="str">
        <f>INDEX(DS_GIAOVIEN!B:B,MATCH(B5,DS_GIAOVIEN!B:B,0),1)</f>
        <v>Trần Ngọc Điệp</v>
      </c>
    </row>
    <row r="6" spans="1:4" x14ac:dyDescent="0.25">
      <c r="A6" s="37">
        <v>5</v>
      </c>
      <c r="B6" s="38" t="s">
        <v>168</v>
      </c>
      <c r="C6" s="37">
        <f t="shared" si="0"/>
        <v>54</v>
      </c>
      <c r="D6" s="38" t="str">
        <f>INDEX(DS_GIAOVIEN!B:B,MATCH(B6,DS_GIAOVIEN!B:B,0),1)</f>
        <v>Phan Bằng Thạch</v>
      </c>
    </row>
    <row r="7" spans="1:4" x14ac:dyDescent="0.25">
      <c r="A7" s="37">
        <v>6</v>
      </c>
      <c r="B7" s="38" t="s">
        <v>111</v>
      </c>
      <c r="C7" s="37">
        <f t="shared" si="0"/>
        <v>54</v>
      </c>
      <c r="D7" s="38" t="str">
        <f>INDEX(DS_GIAOVIEN!B:B,MATCH(B7,DS_GIAOVIEN!B:B,0),1)</f>
        <v>Vũ Thị Hoài Thanh</v>
      </c>
    </row>
    <row r="8" spans="1:4" x14ac:dyDescent="0.25">
      <c r="A8" s="37">
        <v>7</v>
      </c>
      <c r="B8" s="38" t="s">
        <v>169</v>
      </c>
      <c r="C8" s="37">
        <f t="shared" si="0"/>
        <v>54</v>
      </c>
      <c r="D8" s="38" t="str">
        <f>INDEX(DS_GIAOVIEN!B:B,MATCH(B8,DS_GIAOVIEN!B:B,0),1)</f>
        <v>Trần Thị Thơ</v>
      </c>
    </row>
    <row r="9" spans="1:4" x14ac:dyDescent="0.25">
      <c r="A9" s="37">
        <v>8</v>
      </c>
      <c r="B9" s="38" t="s">
        <v>110</v>
      </c>
      <c r="C9" s="37">
        <f t="shared" si="0"/>
        <v>54</v>
      </c>
      <c r="D9" s="38" t="str">
        <f>INDEX(DS_GIAOVIEN!B:B,MATCH(B9,DS_GIAOVIEN!B:B,0),1)</f>
        <v>Trần Thị Thu Thúy</v>
      </c>
    </row>
    <row r="10" spans="1:4" x14ac:dyDescent="0.25">
      <c r="A10" s="37">
        <v>9</v>
      </c>
      <c r="B10" s="38" t="s">
        <v>89</v>
      </c>
      <c r="C10" s="37">
        <f t="shared" si="0"/>
        <v>54</v>
      </c>
      <c r="D10" s="38" t="str">
        <f>INDEX(DS_GIAOVIEN!B:B,MATCH(B10,DS_GIAOVIEN!B:B,0),1)</f>
        <v>Ngô Thị Mỹ Hạnh</v>
      </c>
    </row>
    <row r="11" spans="1:4" x14ac:dyDescent="0.25">
      <c r="A11" s="37">
        <v>10</v>
      </c>
      <c r="B11" s="38" t="s">
        <v>90</v>
      </c>
      <c r="C11" s="37">
        <f t="shared" si="0"/>
        <v>54</v>
      </c>
      <c r="D11" s="38" t="str">
        <f>INDEX(DS_GIAOVIEN!B:B,MATCH(B11,DS_GIAOVIEN!B:B,0),1)</f>
        <v>Cao Nữ Việt Anh</v>
      </c>
    </row>
    <row r="12" spans="1:4" x14ac:dyDescent="0.25">
      <c r="A12" s="37">
        <v>11</v>
      </c>
      <c r="B12" s="38" t="s">
        <v>109</v>
      </c>
      <c r="C12" s="37">
        <f t="shared" si="0"/>
        <v>54</v>
      </c>
      <c r="D12" s="38" t="str">
        <f>INDEX(DS_GIAOVIEN!B:B,MATCH(B12,DS_GIAOVIEN!B:B,0),1)</f>
        <v>Phạm Tiến Thành</v>
      </c>
    </row>
    <row r="13" spans="1:4" x14ac:dyDescent="0.25">
      <c r="A13" s="37">
        <v>12</v>
      </c>
      <c r="B13" s="38" t="s">
        <v>124</v>
      </c>
      <c r="C13" s="37">
        <f t="shared" si="0"/>
        <v>54</v>
      </c>
      <c r="D13" s="38" t="str">
        <f>INDEX(DS_GIAOVIEN!B:B,MATCH(B13,DS_GIAOVIEN!B:B,0),1)</f>
        <v>H' Diện Niê</v>
      </c>
    </row>
    <row r="14" spans="1:4" x14ac:dyDescent="0.25">
      <c r="A14" s="37">
        <v>13</v>
      </c>
      <c r="B14" s="38" t="s">
        <v>31</v>
      </c>
      <c r="C14" s="37">
        <f t="shared" si="0"/>
        <v>54</v>
      </c>
      <c r="D14" s="38" t="str">
        <f>INDEX(DS_GIAOVIEN!B:B,MATCH(B14,DS_GIAOVIEN!B:B,0),1)</f>
        <v>Nguyễn Thị Hồng Phương</v>
      </c>
    </row>
    <row r="15" spans="1:4" x14ac:dyDescent="0.25">
      <c r="A15" s="37">
        <v>14</v>
      </c>
      <c r="B15" s="38" t="s">
        <v>93</v>
      </c>
      <c r="C15" s="37">
        <f t="shared" si="0"/>
        <v>54</v>
      </c>
      <c r="D15" s="38" t="str">
        <f>INDEX(DS_GIAOVIEN!B:B,MATCH(B15,DS_GIAOVIEN!B:B,0),1)</f>
        <v>Hán Văn Trung</v>
      </c>
    </row>
    <row r="16" spans="1:4" x14ac:dyDescent="0.25">
      <c r="A16" s="37">
        <v>15</v>
      </c>
      <c r="B16" s="38" t="s">
        <v>117</v>
      </c>
      <c r="C16" s="37">
        <f t="shared" si="0"/>
        <v>54</v>
      </c>
      <c r="D16" s="38" t="str">
        <f>INDEX(DS_GIAOVIEN!B:B,MATCH(B16,DS_GIAOVIEN!B:B,0),1)</f>
        <v>Phạm Văn Quang</v>
      </c>
    </row>
    <row r="17" spans="1:4" x14ac:dyDescent="0.25">
      <c r="A17" s="37">
        <v>16</v>
      </c>
      <c r="B17" s="38" t="s">
        <v>8</v>
      </c>
      <c r="C17" s="37">
        <f t="shared" si="0"/>
        <v>54</v>
      </c>
      <c r="D17" s="38" t="str">
        <f>INDEX(DS_GIAOVIEN!B:B,MATCH(B17,DS_GIAOVIEN!B:B,0),1)</f>
        <v>Lâm Đức Sơn</v>
      </c>
    </row>
    <row r="18" spans="1:4" x14ac:dyDescent="0.25">
      <c r="A18" s="37">
        <v>17</v>
      </c>
      <c r="B18" s="38" t="s">
        <v>23</v>
      </c>
      <c r="C18" s="37">
        <f t="shared" si="0"/>
        <v>54</v>
      </c>
      <c r="D18" s="38" t="str">
        <f>INDEX(DS_GIAOVIEN!B:B,MATCH(B18,DS_GIAOVIEN!B:B,0),1)</f>
        <v>Nguyễn Như Trung</v>
      </c>
    </row>
    <row r="19" spans="1:4" x14ac:dyDescent="0.25">
      <c r="A19" s="37">
        <v>18</v>
      </c>
      <c r="B19" s="38" t="s">
        <v>103</v>
      </c>
      <c r="C19" s="37">
        <f t="shared" si="0"/>
        <v>54</v>
      </c>
      <c r="D19" s="38" t="str">
        <f>INDEX(DS_GIAOVIEN!B:B,MATCH(B19,DS_GIAOVIEN!B:B,0),1)</f>
        <v>Nguyễn Trung Kiên</v>
      </c>
    </row>
    <row r="20" spans="1:4" x14ac:dyDescent="0.25">
      <c r="A20" s="37">
        <v>19</v>
      </c>
      <c r="B20" s="38" t="s">
        <v>7</v>
      </c>
      <c r="C20" s="37">
        <f t="shared" si="0"/>
        <v>54</v>
      </c>
      <c r="D20" s="38" t="str">
        <f>INDEX(DS_GIAOVIEN!B:B,MATCH(B20,DS_GIAOVIEN!B:B,0),1)</f>
        <v>Lê Ngọc Trung</v>
      </c>
    </row>
    <row r="21" spans="1:4" x14ac:dyDescent="0.25">
      <c r="A21" s="37">
        <v>20</v>
      </c>
      <c r="B21" s="38" t="s">
        <v>107</v>
      </c>
      <c r="C21" s="37">
        <f t="shared" si="0"/>
        <v>54</v>
      </c>
      <c r="D21" s="38" t="str">
        <f>INDEX(DS_GIAOVIEN!B:B,MATCH(B21,DS_GIAOVIEN!B:B,0),1)</f>
        <v>Nguyễn Thị Lạc Việt</v>
      </c>
    </row>
    <row r="22" spans="1:4" x14ac:dyDescent="0.25">
      <c r="A22" s="37">
        <v>21</v>
      </c>
      <c r="B22" s="38" t="s">
        <v>105</v>
      </c>
      <c r="C22" s="37">
        <f t="shared" si="0"/>
        <v>54</v>
      </c>
      <c r="D22" s="38" t="str">
        <f>INDEX(DS_GIAOVIEN!B:B,MATCH(B22,DS_GIAOVIEN!B:B,0),1)</f>
        <v>Trịnh Thị Thảo Quyên</v>
      </c>
    </row>
    <row r="23" spans="1:4" x14ac:dyDescent="0.25">
      <c r="A23" s="37">
        <v>22</v>
      </c>
      <c r="B23" s="38" t="s">
        <v>28</v>
      </c>
      <c r="C23" s="37">
        <f t="shared" si="0"/>
        <v>54</v>
      </c>
      <c r="D23" s="38" t="str">
        <f>INDEX(DS_GIAOVIEN!B:B,MATCH(B23,DS_GIAOVIEN!B:B,0),1)</f>
        <v>Nguyễn Thị Hải Yến</v>
      </c>
    </row>
    <row r="24" spans="1:4" x14ac:dyDescent="0.25">
      <c r="A24" s="37">
        <v>23</v>
      </c>
      <c r="B24" s="38" t="s">
        <v>106</v>
      </c>
      <c r="C24" s="37">
        <f t="shared" si="0"/>
        <v>54</v>
      </c>
      <c r="D24" s="38" t="str">
        <f>INDEX(DS_GIAOVIEN!B:B,MATCH(B24,DS_GIAOVIEN!B:B,0),1)</f>
        <v>H Chel H' Mok</v>
      </c>
    </row>
    <row r="25" spans="1:4" x14ac:dyDescent="0.25">
      <c r="A25" s="37">
        <v>24</v>
      </c>
      <c r="B25" s="38" t="s">
        <v>19</v>
      </c>
      <c r="C25" s="37">
        <f t="shared" si="0"/>
        <v>54</v>
      </c>
      <c r="D25" s="38" t="str">
        <f>INDEX(DS_GIAOVIEN!B:B,MATCH(B25,DS_GIAOVIEN!B:B,0),1)</f>
        <v>Đào Xuân Quỳnh</v>
      </c>
    </row>
    <row r="26" spans="1:4" x14ac:dyDescent="0.25">
      <c r="A26" s="37">
        <v>25</v>
      </c>
      <c r="B26" s="38" t="s">
        <v>25</v>
      </c>
      <c r="C26" s="37">
        <f t="shared" si="0"/>
        <v>54</v>
      </c>
      <c r="D26" s="38" t="str">
        <f>INDEX(DS_GIAOVIEN!B:B,MATCH(B26,DS_GIAOVIEN!B:B,0),1)</f>
        <v>Đỗ Thị Quỳnh Anh</v>
      </c>
    </row>
    <row r="27" spans="1:4" x14ac:dyDescent="0.25">
      <c r="A27" s="37">
        <v>26</v>
      </c>
      <c r="B27" s="38" t="s">
        <v>13</v>
      </c>
      <c r="C27" s="37">
        <f t="shared" si="0"/>
        <v>54</v>
      </c>
      <c r="D27" s="38" t="str">
        <f>INDEX(DS_GIAOVIEN!B:B,MATCH(B27,DS_GIAOVIEN!B:B,0),1)</f>
        <v>Nguyễn Thị Thu Hà</v>
      </c>
    </row>
    <row r="28" spans="1:4" x14ac:dyDescent="0.25">
      <c r="A28" s="37">
        <v>27</v>
      </c>
      <c r="B28" s="38" t="s">
        <v>119</v>
      </c>
      <c r="C28" s="37">
        <f t="shared" si="0"/>
        <v>54</v>
      </c>
      <c r="D28" s="38" t="str">
        <f>INDEX(DS_GIAOVIEN!B:B,MATCH(B28,DS_GIAOVIEN!B:B,0),1)</f>
        <v>Nguyễn Thị Bích Ngọc</v>
      </c>
    </row>
    <row r="29" spans="1:4" x14ac:dyDescent="0.25">
      <c r="A29" s="37">
        <v>28</v>
      </c>
      <c r="B29" s="38" t="s">
        <v>102</v>
      </c>
      <c r="C29" s="37">
        <f t="shared" si="0"/>
        <v>54</v>
      </c>
      <c r="D29" s="38" t="str">
        <f>INDEX(DS_GIAOVIEN!B:B,MATCH(B29,DS_GIAOVIEN!B:B,0),1)</f>
        <v>Đặng Văn Dung</v>
      </c>
    </row>
    <row r="30" spans="1:4" x14ac:dyDescent="0.25">
      <c r="A30" s="37">
        <v>29</v>
      </c>
      <c r="B30" s="38" t="s">
        <v>20</v>
      </c>
      <c r="C30" s="37">
        <f t="shared" si="0"/>
        <v>54</v>
      </c>
      <c r="D30" s="38" t="str">
        <f>INDEX(DS_GIAOVIEN!B:B,MATCH(B30,DS_GIAOVIEN!B:B,0),1)</f>
        <v>Trương Minh Trí</v>
      </c>
    </row>
    <row r="31" spans="1:4" x14ac:dyDescent="0.25">
      <c r="A31" s="37">
        <v>30</v>
      </c>
      <c r="B31" s="38" t="s">
        <v>104</v>
      </c>
      <c r="C31" s="37">
        <f t="shared" si="0"/>
        <v>54</v>
      </c>
      <c r="D31" s="38" t="str">
        <f>INDEX(DS_GIAOVIEN!B:B,MATCH(B31,DS_GIAOVIEN!B:B,0),1)</f>
        <v>Lê Khánh Toàn</v>
      </c>
    </row>
    <row r="32" spans="1:4" x14ac:dyDescent="0.25">
      <c r="A32" s="37">
        <v>31</v>
      </c>
      <c r="B32" s="38" t="s">
        <v>21</v>
      </c>
      <c r="C32" s="37">
        <f t="shared" si="0"/>
        <v>54</v>
      </c>
      <c r="D32" s="38" t="str">
        <f>INDEX(DS_GIAOVIEN!B:B,MATCH(B32,DS_GIAOVIEN!B:B,0),1)</f>
        <v>Nguyễn Xuân Vỹ</v>
      </c>
    </row>
    <row r="33" spans="1:4" x14ac:dyDescent="0.25">
      <c r="A33" s="37">
        <v>32</v>
      </c>
      <c r="B33" s="38" t="s">
        <v>227</v>
      </c>
      <c r="C33" s="37">
        <f t="shared" si="0"/>
        <v>54</v>
      </c>
      <c r="D33" s="38" t="str">
        <f>INDEX(DS_GIAOVIEN!B:B,MATCH(B33,DS_GIAOVIEN!B:B,0),1)</f>
        <v>Lê Thị Thu Hà</v>
      </c>
    </row>
    <row r="34" spans="1:4" x14ac:dyDescent="0.25">
      <c r="A34" s="37">
        <v>33</v>
      </c>
      <c r="B34" s="38" t="s">
        <v>27</v>
      </c>
      <c r="C34" s="37">
        <f t="shared" si="0"/>
        <v>54</v>
      </c>
      <c r="D34" s="38" t="str">
        <f>INDEX(DS_GIAOVIEN!B:B,MATCH(B34,DS_GIAOVIEN!B:B,0),1)</f>
        <v>Lê Thị Hạnh Phúc</v>
      </c>
    </row>
    <row r="35" spans="1:4" x14ac:dyDescent="0.25">
      <c r="A35" s="37">
        <v>34</v>
      </c>
      <c r="B35" s="38" t="s">
        <v>26</v>
      </c>
      <c r="C35" s="37">
        <f t="shared" si="0"/>
        <v>54</v>
      </c>
      <c r="D35" s="38" t="str">
        <f>INDEX(DS_GIAOVIEN!B:B,MATCH(B35,DS_GIAOVIEN!B:B,0),1)</f>
        <v>Y Joen Niê Kdăm</v>
      </c>
    </row>
    <row r="36" spans="1:4" x14ac:dyDescent="0.25">
      <c r="A36" s="37">
        <v>35</v>
      </c>
      <c r="B36" s="38" t="s">
        <v>36</v>
      </c>
      <c r="C36" s="37">
        <f t="shared" si="0"/>
        <v>54</v>
      </c>
      <c r="D36" s="38" t="str">
        <f>INDEX(DS_GIAOVIEN!B:B,MATCH(B36,DS_GIAOVIEN!B:B,0),1)</f>
        <v>Hồ Đức Nhân</v>
      </c>
    </row>
    <row r="37" spans="1:4" x14ac:dyDescent="0.25">
      <c r="A37" s="37">
        <v>36</v>
      </c>
      <c r="B37" s="38" t="s">
        <v>51</v>
      </c>
      <c r="C37" s="37">
        <f t="shared" si="0"/>
        <v>54</v>
      </c>
      <c r="D37" s="38" t="str">
        <f>INDEX(DS_GIAOVIEN!B:B,MATCH(B37,DS_GIAOVIEN!B:B,0),1)</f>
        <v>Nguyễn Viết Nông</v>
      </c>
    </row>
    <row r="38" spans="1:4" x14ac:dyDescent="0.25">
      <c r="A38" s="37">
        <v>37</v>
      </c>
      <c r="B38" s="38" t="s">
        <v>71</v>
      </c>
      <c r="C38" s="37">
        <f t="shared" si="0"/>
        <v>54</v>
      </c>
      <c r="D38" s="38" t="str">
        <f>INDEX(DS_GIAOVIEN!B:B,MATCH(B38,DS_GIAOVIEN!B:B,0),1)</f>
        <v>Dương Hồng Phước</v>
      </c>
    </row>
    <row r="39" spans="1:4" x14ac:dyDescent="0.25">
      <c r="A39" s="37">
        <v>38</v>
      </c>
      <c r="B39" s="38" t="s">
        <v>54</v>
      </c>
      <c r="C39" s="37">
        <f t="shared" si="0"/>
        <v>54</v>
      </c>
      <c r="D39" s="38" t="str">
        <f>INDEX(DS_GIAOVIEN!B:B,MATCH(B39,DS_GIAOVIEN!B:B,0),1)</f>
        <v>La Văn Nam</v>
      </c>
    </row>
    <row r="40" spans="1:4" x14ac:dyDescent="0.25">
      <c r="A40" s="37">
        <v>39</v>
      </c>
      <c r="B40" s="38" t="s">
        <v>52</v>
      </c>
      <c r="C40" s="37">
        <f t="shared" si="0"/>
        <v>54</v>
      </c>
      <c r="D40" s="38" t="str">
        <f>INDEX(DS_GIAOVIEN!B:B,MATCH(B40,DS_GIAOVIEN!B:B,0),1)</f>
        <v>Phan Tấn Đạt</v>
      </c>
    </row>
    <row r="41" spans="1:4" x14ac:dyDescent="0.25">
      <c r="A41" s="37">
        <v>40</v>
      </c>
      <c r="B41" s="38" t="s">
        <v>74</v>
      </c>
      <c r="C41" s="37">
        <f t="shared" si="0"/>
        <v>54</v>
      </c>
      <c r="D41" s="38" t="str">
        <f>INDEX(DS_GIAOVIEN!B:B,MATCH(B41,DS_GIAOVIEN!B:B,0),1)</f>
        <v>Nguyễn Anh Vinh</v>
      </c>
    </row>
    <row r="42" spans="1:4" x14ac:dyDescent="0.25">
      <c r="A42" s="37">
        <v>41</v>
      </c>
      <c r="B42" s="38" t="s">
        <v>53</v>
      </c>
      <c r="C42" s="37">
        <f t="shared" si="0"/>
        <v>54</v>
      </c>
      <c r="D42" s="38" t="str">
        <f>INDEX(DS_GIAOVIEN!B:B,MATCH(B42,DS_GIAOVIEN!B:B,0),1)</f>
        <v>Nguyễn Thị Hải</v>
      </c>
    </row>
    <row r="43" spans="1:4" x14ac:dyDescent="0.25">
      <c r="A43" s="37">
        <v>42</v>
      </c>
      <c r="B43" s="38" t="s">
        <v>55</v>
      </c>
      <c r="C43" s="37">
        <f t="shared" si="0"/>
        <v>54</v>
      </c>
      <c r="D43" s="38" t="str">
        <f>INDEX(DS_GIAOVIEN!B:B,MATCH(B43,DS_GIAOVIEN!B:B,0),1)</f>
        <v>Nguyễn Văn Công</v>
      </c>
    </row>
    <row r="44" spans="1:4" x14ac:dyDescent="0.25">
      <c r="A44" s="37">
        <v>43</v>
      </c>
      <c r="B44" s="38" t="s">
        <v>100</v>
      </c>
      <c r="C44" s="37">
        <f t="shared" si="0"/>
        <v>54</v>
      </c>
      <c r="D44" s="38" t="str">
        <f>INDEX(DS_GIAOVIEN!B:B,MATCH(B44,DS_GIAOVIEN!B:B,0),1)</f>
        <v>Trần Ngọc Sơn Hùng</v>
      </c>
    </row>
    <row r="45" spans="1:4" x14ac:dyDescent="0.25">
      <c r="A45" s="37">
        <v>44</v>
      </c>
      <c r="B45" s="38" t="s">
        <v>66</v>
      </c>
      <c r="C45" s="37">
        <f t="shared" si="0"/>
        <v>54</v>
      </c>
      <c r="D45" s="38" t="str">
        <f>INDEX(DS_GIAOVIEN!B:B,MATCH(B45,DS_GIAOVIEN!B:B,0),1)</f>
        <v>Nguyễn Anh Duy</v>
      </c>
    </row>
    <row r="46" spans="1:4" x14ac:dyDescent="0.25">
      <c r="A46" s="37">
        <v>45</v>
      </c>
      <c r="B46" s="38" t="s">
        <v>99</v>
      </c>
      <c r="C46" s="37">
        <f t="shared" si="0"/>
        <v>54</v>
      </c>
      <c r="D46" s="38" t="str">
        <f>INDEX(DS_GIAOVIEN!B:B,MATCH(B46,DS_GIAOVIEN!B:B,0),1)</f>
        <v>Phạm Văn Nguyên</v>
      </c>
    </row>
    <row r="47" spans="1:4" x14ac:dyDescent="0.25">
      <c r="A47" s="37">
        <v>46</v>
      </c>
      <c r="B47" s="38" t="s">
        <v>161</v>
      </c>
      <c r="C47" s="37">
        <f t="shared" si="0"/>
        <v>54</v>
      </c>
      <c r="D47" s="38" t="str">
        <f>INDEX(DS_GIAOVIEN!B:B,MATCH(B47,DS_GIAOVIEN!B:B,0),1)</f>
        <v>Phạm Minh Tuấn</v>
      </c>
    </row>
    <row r="48" spans="1:4" x14ac:dyDescent="0.25">
      <c r="A48" s="37">
        <v>47</v>
      </c>
      <c r="B48" s="38" t="s">
        <v>57</v>
      </c>
      <c r="C48" s="37">
        <f t="shared" si="0"/>
        <v>54</v>
      </c>
      <c r="D48" s="38" t="str">
        <f>INDEX(DS_GIAOVIEN!B:B,MATCH(B48,DS_GIAOVIEN!B:B,0),1)</f>
        <v>Nguyễn Văn Chính</v>
      </c>
    </row>
    <row r="49" spans="1:4" x14ac:dyDescent="0.25">
      <c r="A49" s="37">
        <v>48</v>
      </c>
      <c r="B49" s="38" t="s">
        <v>37</v>
      </c>
      <c r="C49" s="37">
        <f t="shared" si="0"/>
        <v>54</v>
      </c>
      <c r="D49" s="38" t="str">
        <f>INDEX(DS_GIAOVIEN!B:B,MATCH(B49,DS_GIAOVIEN!B:B,0),1)</f>
        <v>Đào Minh Thủy</v>
      </c>
    </row>
    <row r="50" spans="1:4" x14ac:dyDescent="0.25">
      <c r="A50" s="37">
        <v>49</v>
      </c>
      <c r="B50" s="38" t="s">
        <v>163</v>
      </c>
      <c r="C50" s="37">
        <f t="shared" si="0"/>
        <v>54</v>
      </c>
      <c r="D50" s="38" t="str">
        <f>INDEX(DS_GIAOVIEN!B:B,MATCH(B50,DS_GIAOVIEN!B:B,0),1)</f>
        <v>Chu Văn Đức</v>
      </c>
    </row>
    <row r="51" spans="1:4" x14ac:dyDescent="0.25">
      <c r="A51" s="37">
        <v>50</v>
      </c>
      <c r="B51" s="38" t="s">
        <v>35</v>
      </c>
      <c r="C51" s="37">
        <f t="shared" si="0"/>
        <v>54</v>
      </c>
      <c r="D51" s="38" t="str">
        <f>INDEX(DS_GIAOVIEN!B:B,MATCH(B51,DS_GIAOVIEN!B:B,0),1)</f>
        <v>Phạm Quốc Lập</v>
      </c>
    </row>
    <row r="52" spans="1:4" x14ac:dyDescent="0.25">
      <c r="A52" s="37">
        <v>51</v>
      </c>
      <c r="B52" s="38" t="s">
        <v>101</v>
      </c>
      <c r="C52" s="37">
        <f t="shared" si="0"/>
        <v>54</v>
      </c>
      <c r="D52" s="38" t="str">
        <f>INDEX(DS_GIAOVIEN!B:B,MATCH(B52,DS_GIAOVIEN!B:B,0),1)</f>
        <v>Cao Xuân Cường</v>
      </c>
    </row>
    <row r="53" spans="1:4" x14ac:dyDescent="0.25">
      <c r="A53" s="37">
        <v>52</v>
      </c>
      <c r="B53" s="38" t="s">
        <v>42</v>
      </c>
      <c r="C53" s="37">
        <f t="shared" si="0"/>
        <v>54</v>
      </c>
      <c r="D53" s="38" t="str">
        <f>INDEX(DS_GIAOVIEN!B:B,MATCH(B53,DS_GIAOVIEN!B:B,0),1)</f>
        <v>Lê Thị Minh Thùy</v>
      </c>
    </row>
    <row r="54" spans="1:4" x14ac:dyDescent="0.25">
      <c r="A54" s="37">
        <v>53</v>
      </c>
      <c r="B54" s="38" t="s">
        <v>56</v>
      </c>
      <c r="C54" s="37">
        <f t="shared" si="0"/>
        <v>54</v>
      </c>
      <c r="D54" s="38" t="str">
        <f>INDEX(DS_GIAOVIEN!B:B,MATCH(B54,DS_GIAOVIEN!B:B,0),1)</f>
        <v>Nguyễn Xuân Nguyên</v>
      </c>
    </row>
    <row r="55" spans="1:4" x14ac:dyDescent="0.25">
      <c r="A55" s="37">
        <v>54</v>
      </c>
      <c r="B55" s="38" t="s">
        <v>65</v>
      </c>
      <c r="C55" s="37">
        <f t="shared" si="0"/>
        <v>54</v>
      </c>
      <c r="D55" s="38" t="str">
        <f>INDEX(DS_GIAOVIEN!B:B,MATCH(B55,DS_GIAOVIEN!B:B,0),1)</f>
        <v>Võ Thị Cẩm Thơ</v>
      </c>
    </row>
    <row r="56" spans="1:4" x14ac:dyDescent="0.25">
      <c r="A56" s="37">
        <v>55</v>
      </c>
      <c r="B56" s="38" t="s">
        <v>118</v>
      </c>
      <c r="C56" s="37">
        <f t="shared" si="0"/>
        <v>54</v>
      </c>
      <c r="D56" s="38" t="str">
        <f>INDEX(DS_GIAOVIEN!B:B,MATCH(B56,DS_GIAOVIEN!B:B,0),1)</f>
        <v>Trương Võ Thành</v>
      </c>
    </row>
    <row r="57" spans="1:4" x14ac:dyDescent="0.25">
      <c r="A57" s="37">
        <v>56</v>
      </c>
      <c r="B57" s="38" t="s">
        <v>164</v>
      </c>
      <c r="C57" s="37">
        <f t="shared" si="0"/>
        <v>54</v>
      </c>
      <c r="D57" s="38" t="str">
        <f>INDEX(DS_GIAOVIEN!B:B,MATCH(B57,DS_GIAOVIEN!B:B,0),1)</f>
        <v>Đinh Thị Yến</v>
      </c>
    </row>
    <row r="58" spans="1:4" x14ac:dyDescent="0.25">
      <c r="A58" s="37">
        <v>57</v>
      </c>
      <c r="B58" s="38" t="s">
        <v>38</v>
      </c>
      <c r="C58" s="37">
        <f t="shared" si="0"/>
        <v>54</v>
      </c>
      <c r="D58" s="38" t="str">
        <f>INDEX(DS_GIAOVIEN!B:B,MATCH(B58,DS_GIAOVIEN!B:B,0),1)</f>
        <v>Hồ Văn Thông</v>
      </c>
    </row>
    <row r="59" spans="1:4" x14ac:dyDescent="0.25">
      <c r="A59" s="37">
        <v>58</v>
      </c>
      <c r="B59" s="38" t="s">
        <v>165</v>
      </c>
      <c r="C59" s="37">
        <f t="shared" si="0"/>
        <v>54</v>
      </c>
      <c r="D59" s="38" t="str">
        <f>INDEX(DS_GIAOVIEN!B:B,MATCH(B59,DS_GIAOVIEN!B:B,0),1)</f>
        <v>Nghiêm Thị Phượng</v>
      </c>
    </row>
    <row r="60" spans="1:4" x14ac:dyDescent="0.25">
      <c r="A60" s="37">
        <v>59</v>
      </c>
      <c r="B60" s="38" t="s">
        <v>43</v>
      </c>
      <c r="C60" s="37">
        <f t="shared" si="0"/>
        <v>54</v>
      </c>
      <c r="D60" s="38" t="str">
        <f>INDEX(DS_GIAOVIEN!B:B,MATCH(B60,DS_GIAOVIEN!B:B,0),1)</f>
        <v>Trần Văn Nhàn</v>
      </c>
    </row>
    <row r="61" spans="1:4" x14ac:dyDescent="0.25">
      <c r="A61" s="37">
        <v>60</v>
      </c>
      <c r="B61" s="38" t="s">
        <v>58</v>
      </c>
      <c r="C61" s="37">
        <f t="shared" si="0"/>
        <v>54</v>
      </c>
      <c r="D61" s="38" t="str">
        <f>INDEX(DS_GIAOVIEN!B:B,MATCH(B61,DS_GIAOVIEN!B:B,0),1)</f>
        <v>Phạm Xuân Vinh</v>
      </c>
    </row>
    <row r="62" spans="1:4" x14ac:dyDescent="0.25">
      <c r="A62" s="37">
        <v>61</v>
      </c>
      <c r="B62" s="38" t="s">
        <v>82</v>
      </c>
      <c r="C62" s="37">
        <f t="shared" si="0"/>
        <v>54</v>
      </c>
      <c r="D62" s="38" t="str">
        <f>INDEX(DS_GIAOVIEN!B:B,MATCH(B62,DS_GIAOVIEN!B:B,0),1)</f>
        <v>Huỳnh Ngọc Tùng</v>
      </c>
    </row>
    <row r="63" spans="1:4" x14ac:dyDescent="0.25">
      <c r="A63" s="37">
        <v>62</v>
      </c>
      <c r="B63" s="38" t="s">
        <v>162</v>
      </c>
      <c r="C63" s="37">
        <f t="shared" si="0"/>
        <v>54</v>
      </c>
      <c r="D63" s="38" t="str">
        <f>INDEX(DS_GIAOVIEN!B:B,MATCH(B63,DS_GIAOVIEN!B:B,0),1)</f>
        <v>Cao Tiến Nam</v>
      </c>
    </row>
    <row r="64" spans="1:4" x14ac:dyDescent="0.25">
      <c r="A64" s="37">
        <v>63</v>
      </c>
      <c r="B64" s="38" t="s">
        <v>129</v>
      </c>
      <c r="C64" s="37">
        <f t="shared" si="0"/>
        <v>54</v>
      </c>
      <c r="D64" s="38" t="str">
        <f>INDEX(DS_GIAOVIEN!B:B,MATCH(B64,DS_GIAOVIEN!B:B,0),1)</f>
        <v>Nguyễn Thị Mai Lan</v>
      </c>
    </row>
    <row r="65" spans="1:4" x14ac:dyDescent="0.25">
      <c r="A65" s="37">
        <v>64</v>
      </c>
      <c r="B65" s="38" t="s">
        <v>61</v>
      </c>
      <c r="C65" s="37">
        <f t="shared" si="0"/>
        <v>54</v>
      </c>
      <c r="D65" s="38" t="str">
        <f>INDEX(DS_GIAOVIEN!B:B,MATCH(B65,DS_GIAOVIEN!B:B,0),1)</f>
        <v>Nguyễn Thị Miền</v>
      </c>
    </row>
    <row r="66" spans="1:4" x14ac:dyDescent="0.25">
      <c r="A66" s="37">
        <v>65</v>
      </c>
      <c r="B66" s="38" t="s">
        <v>139</v>
      </c>
      <c r="C66" s="37">
        <f t="shared" si="0"/>
        <v>54</v>
      </c>
      <c r="D66" s="38" t="str">
        <f>INDEX(DS_GIAOVIEN!B:B,MATCH(B66,DS_GIAOVIEN!B:B,0),1)</f>
        <v>Nguyễn Thanh Tịnh</v>
      </c>
    </row>
    <row r="67" spans="1:4" x14ac:dyDescent="0.25">
      <c r="A67" s="37">
        <v>66</v>
      </c>
      <c r="B67" s="38" t="s">
        <v>138</v>
      </c>
      <c r="C67" s="37">
        <f t="shared" ref="C67:C121" si="1">13.5*4</f>
        <v>54</v>
      </c>
      <c r="D67" s="38" t="str">
        <f>INDEX(DS_GIAOVIEN!B:B,MATCH(B67,DS_GIAOVIEN!B:B,0),1)</f>
        <v>Nguyễn Thị Luyến</v>
      </c>
    </row>
    <row r="68" spans="1:4" x14ac:dyDescent="0.25">
      <c r="A68" s="37">
        <v>67</v>
      </c>
      <c r="B68" s="38" t="s">
        <v>60</v>
      </c>
      <c r="C68" s="37">
        <f t="shared" si="1"/>
        <v>54</v>
      </c>
      <c r="D68" s="38" t="str">
        <f>INDEX(DS_GIAOVIEN!B:B,MATCH(B68,DS_GIAOVIEN!B:B,0),1)</f>
        <v>Đỗ Thị Kiều Vân</v>
      </c>
    </row>
    <row r="69" spans="1:4" x14ac:dyDescent="0.25">
      <c r="A69" s="37">
        <v>68</v>
      </c>
      <c r="B69" s="38" t="s">
        <v>2</v>
      </c>
      <c r="C69" s="37">
        <f t="shared" si="1"/>
        <v>54</v>
      </c>
      <c r="D69" s="38" t="str">
        <f>INDEX(DS_GIAOVIEN!B:B,MATCH(B69,DS_GIAOVIEN!B:B,0),1)</f>
        <v>Đinh Trọng Hiếu</v>
      </c>
    </row>
    <row r="70" spans="1:4" x14ac:dyDescent="0.25">
      <c r="A70" s="37">
        <v>69</v>
      </c>
      <c r="B70" s="38" t="s">
        <v>128</v>
      </c>
      <c r="C70" s="37">
        <f t="shared" si="1"/>
        <v>54</v>
      </c>
      <c r="D70" s="38" t="str">
        <f>INDEX(DS_GIAOVIEN!B:B,MATCH(B70,DS_GIAOVIEN!B:B,0),1)</f>
        <v>Nguyễn Thị Luyên</v>
      </c>
    </row>
    <row r="71" spans="1:4" x14ac:dyDescent="0.25">
      <c r="A71" s="37">
        <v>70</v>
      </c>
      <c r="B71" s="38" t="s">
        <v>123</v>
      </c>
      <c r="C71" s="37">
        <f t="shared" si="1"/>
        <v>54</v>
      </c>
      <c r="D71" s="38" t="str">
        <f>INDEX(DS_GIAOVIEN!B:B,MATCH(B71,DS_GIAOVIEN!B:B,0),1)</f>
        <v>Y Si la Knul</v>
      </c>
    </row>
    <row r="72" spans="1:4" x14ac:dyDescent="0.25">
      <c r="A72" s="37">
        <v>71</v>
      </c>
      <c r="B72" s="38" t="s">
        <v>121</v>
      </c>
      <c r="C72" s="37">
        <f t="shared" si="1"/>
        <v>54</v>
      </c>
      <c r="D72" s="38" t="str">
        <f>INDEX(DS_GIAOVIEN!B:B,MATCH(B72,DS_GIAOVIEN!B:B,0),1)</f>
        <v>Nguyễn Ngọc Tuấn</v>
      </c>
    </row>
    <row r="73" spans="1:4" x14ac:dyDescent="0.25">
      <c r="A73" s="37">
        <v>72</v>
      </c>
      <c r="B73" s="38" t="s">
        <v>41</v>
      </c>
      <c r="C73" s="37">
        <f t="shared" si="1"/>
        <v>54</v>
      </c>
      <c r="D73" s="38" t="str">
        <f>INDEX(DS_GIAOVIEN!B:B,MATCH(B73,DS_GIAOVIEN!B:B,0),1)</f>
        <v>Chu Văn Cung</v>
      </c>
    </row>
    <row r="74" spans="1:4" x14ac:dyDescent="0.25">
      <c r="A74" s="37">
        <v>73</v>
      </c>
      <c r="B74" s="38" t="s">
        <v>5</v>
      </c>
      <c r="C74" s="37">
        <f t="shared" si="1"/>
        <v>54</v>
      </c>
      <c r="D74" s="38" t="str">
        <f>INDEX(DS_GIAOVIEN!B:B,MATCH(B74,DS_GIAOVIEN!B:B,0),1)</f>
        <v>Vũ Văn Quang</v>
      </c>
    </row>
    <row r="75" spans="1:4" x14ac:dyDescent="0.25">
      <c r="A75" s="37">
        <v>74</v>
      </c>
      <c r="B75" s="38" t="s">
        <v>69</v>
      </c>
      <c r="C75" s="37">
        <f t="shared" si="1"/>
        <v>54</v>
      </c>
      <c r="D75" s="38" t="str">
        <f>INDEX(DS_GIAOVIEN!B:B,MATCH(B75,DS_GIAOVIEN!B:B,0),1)</f>
        <v>Ngô Xuân Thành</v>
      </c>
    </row>
    <row r="76" spans="1:4" x14ac:dyDescent="0.25">
      <c r="A76" s="37">
        <v>75</v>
      </c>
      <c r="B76" s="38" t="s">
        <v>17</v>
      </c>
      <c r="C76" s="37">
        <f t="shared" si="1"/>
        <v>54</v>
      </c>
      <c r="D76" s="38" t="str">
        <f>INDEX(DS_GIAOVIEN!B:B,MATCH(B76,DS_GIAOVIEN!B:B,0),1)</f>
        <v>Nguyễn Hữu Hoành</v>
      </c>
    </row>
    <row r="77" spans="1:4" x14ac:dyDescent="0.25">
      <c r="A77" s="37">
        <v>76</v>
      </c>
      <c r="B77" s="38" t="s">
        <v>120</v>
      </c>
      <c r="C77" s="37">
        <f t="shared" si="1"/>
        <v>54</v>
      </c>
      <c r="D77" s="38" t="str">
        <f>INDEX(DS_GIAOVIEN!B:B,MATCH(B77,DS_GIAOVIEN!B:B,0),1)</f>
        <v>Trần Thanh Hải</v>
      </c>
    </row>
    <row r="78" spans="1:4" x14ac:dyDescent="0.25">
      <c r="A78" s="37">
        <v>77</v>
      </c>
      <c r="B78" s="38" t="s">
        <v>152</v>
      </c>
      <c r="C78" s="37">
        <f t="shared" si="1"/>
        <v>54</v>
      </c>
      <c r="D78" s="38" t="str">
        <f>INDEX(DS_GIAOVIEN!B:B,MATCH(B78,DS_GIAOVIEN!B:B,0),1)</f>
        <v>Phan Anh Hậu</v>
      </c>
    </row>
    <row r="79" spans="1:4" x14ac:dyDescent="0.25">
      <c r="A79" s="37">
        <v>78</v>
      </c>
      <c r="B79" s="38" t="s">
        <v>156</v>
      </c>
      <c r="C79" s="37">
        <f t="shared" si="1"/>
        <v>54</v>
      </c>
      <c r="D79" s="38" t="str">
        <f>INDEX(DS_GIAOVIEN!B:B,MATCH(B79,DS_GIAOVIEN!B:B,0),1)</f>
        <v>Trần Văn Hương</v>
      </c>
    </row>
    <row r="80" spans="1:4" x14ac:dyDescent="0.25">
      <c r="A80" s="37">
        <v>79</v>
      </c>
      <c r="B80" s="38" t="s">
        <v>81</v>
      </c>
      <c r="C80" s="37">
        <f t="shared" si="1"/>
        <v>54</v>
      </c>
      <c r="D80" s="38" t="str">
        <f>INDEX(DS_GIAOVIEN!B:B,MATCH(B80,DS_GIAOVIEN!B:B,0),1)</f>
        <v>Ngô Phạm Hồng Phước</v>
      </c>
    </row>
    <row r="81" spans="1:4" x14ac:dyDescent="0.25">
      <c r="A81" s="37">
        <v>80</v>
      </c>
      <c r="B81" s="38" t="s">
        <v>12</v>
      </c>
      <c r="C81" s="37">
        <f t="shared" si="1"/>
        <v>54</v>
      </c>
      <c r="D81" s="38" t="str">
        <f>INDEX(DS_GIAOVIEN!B:B,MATCH(B81,DS_GIAOVIEN!B:B,0),1)</f>
        <v>Trần Thanh Dũng</v>
      </c>
    </row>
    <row r="82" spans="1:4" x14ac:dyDescent="0.25">
      <c r="A82" s="37">
        <v>81</v>
      </c>
      <c r="B82" s="38" t="s">
        <v>153</v>
      </c>
      <c r="C82" s="37">
        <f t="shared" si="1"/>
        <v>54</v>
      </c>
      <c r="D82" s="38" t="str">
        <f>INDEX(DS_GIAOVIEN!B:B,MATCH(B82,DS_GIAOVIEN!B:B,0),1)</f>
        <v>Ngô Quang Vinh</v>
      </c>
    </row>
    <row r="83" spans="1:4" x14ac:dyDescent="0.25">
      <c r="A83" s="37">
        <v>82</v>
      </c>
      <c r="B83" s="38" t="s">
        <v>211</v>
      </c>
      <c r="C83" s="37">
        <f t="shared" si="1"/>
        <v>54</v>
      </c>
      <c r="D83" s="38" t="str">
        <f>INDEX(DS_GIAOVIEN!B:B,MATCH(B83,DS_GIAOVIEN!B:B,0),1)</f>
        <v>Nguyễn Tiến Mạnh</v>
      </c>
    </row>
    <row r="84" spans="1:4" x14ac:dyDescent="0.25">
      <c r="A84" s="37">
        <v>83</v>
      </c>
      <c r="B84" s="38" t="s">
        <v>122</v>
      </c>
      <c r="C84" s="37">
        <f t="shared" si="1"/>
        <v>54</v>
      </c>
      <c r="D84" s="38" t="str">
        <f>INDEX(DS_GIAOVIEN!B:B,MATCH(B84,DS_GIAOVIEN!B:B,0),1)</f>
        <v>Nguyễn Thành Chung</v>
      </c>
    </row>
    <row r="85" spans="1:4" x14ac:dyDescent="0.25">
      <c r="A85" s="37">
        <v>84</v>
      </c>
      <c r="B85" s="38" t="s">
        <v>68</v>
      </c>
      <c r="C85" s="37">
        <f t="shared" si="1"/>
        <v>54</v>
      </c>
      <c r="D85" s="38" t="str">
        <f>INDEX(DS_GIAOVIEN!B:B,MATCH(B85,DS_GIAOVIEN!B:B,0),1)</f>
        <v>Trần Văn Tường</v>
      </c>
    </row>
    <row r="86" spans="1:4" x14ac:dyDescent="0.25">
      <c r="A86" s="37">
        <v>85</v>
      </c>
      <c r="B86" s="38" t="s">
        <v>212</v>
      </c>
      <c r="C86" s="37">
        <f t="shared" si="1"/>
        <v>54</v>
      </c>
      <c r="D86" s="38" t="str">
        <f>INDEX(DS_GIAOVIEN!B:B,MATCH(B86,DS_GIAOVIEN!B:B,0),1)</f>
        <v>Võ Anh Vũ</v>
      </c>
    </row>
    <row r="87" spans="1:4" x14ac:dyDescent="0.25">
      <c r="A87" s="37">
        <v>86</v>
      </c>
      <c r="B87" s="38" t="s">
        <v>73</v>
      </c>
      <c r="C87" s="37">
        <f t="shared" si="1"/>
        <v>54</v>
      </c>
      <c r="D87" s="38" t="str">
        <f>INDEX(DS_GIAOVIEN!B:B,MATCH(B87,DS_GIAOVIEN!B:B,0),1)</f>
        <v>Y Louit Niê</v>
      </c>
    </row>
    <row r="88" spans="1:4" x14ac:dyDescent="0.25">
      <c r="A88" s="37">
        <v>87</v>
      </c>
      <c r="B88" s="38" t="s">
        <v>155</v>
      </c>
      <c r="C88" s="37">
        <f t="shared" si="1"/>
        <v>54</v>
      </c>
      <c r="D88" s="38" t="str">
        <f>INDEX(DS_GIAOVIEN!B:B,MATCH(B88,DS_GIAOVIEN!B:B,0),1)</f>
        <v>Nguyễn Hữu Nghĩa</v>
      </c>
    </row>
    <row r="89" spans="1:4" x14ac:dyDescent="0.25">
      <c r="A89" s="37">
        <v>88</v>
      </c>
      <c r="B89" s="38" t="s">
        <v>4</v>
      </c>
      <c r="C89" s="37">
        <f t="shared" si="1"/>
        <v>54</v>
      </c>
      <c r="D89" s="38" t="str">
        <f>INDEX(DS_GIAOVIEN!B:B,MATCH(B89,DS_GIAOVIEN!B:B,0),1)</f>
        <v>Phan Văn Kỳ</v>
      </c>
    </row>
    <row r="90" spans="1:4" x14ac:dyDescent="0.25">
      <c r="A90" s="37">
        <v>89</v>
      </c>
      <c r="B90" s="38" t="s">
        <v>154</v>
      </c>
      <c r="C90" s="37">
        <f t="shared" si="1"/>
        <v>54</v>
      </c>
      <c r="D90" s="38" t="str">
        <f>INDEX(DS_GIAOVIEN!B:B,MATCH(B90,DS_GIAOVIEN!B:B,0),1)</f>
        <v>Nguyễn Trung Hiếu</v>
      </c>
    </row>
    <row r="91" spans="1:4" x14ac:dyDescent="0.25">
      <c r="A91" s="37">
        <v>90</v>
      </c>
      <c r="B91" s="38" t="s">
        <v>70</v>
      </c>
      <c r="C91" s="37">
        <f t="shared" si="1"/>
        <v>54</v>
      </c>
      <c r="D91" s="38" t="str">
        <f>INDEX(DS_GIAOVIEN!B:B,MATCH(B91,DS_GIAOVIEN!B:B,0),1)</f>
        <v>Trần Lâm Sơn</v>
      </c>
    </row>
    <row r="92" spans="1:4" x14ac:dyDescent="0.25">
      <c r="A92" s="37">
        <v>91</v>
      </c>
      <c r="B92" s="38" t="s">
        <v>50</v>
      </c>
      <c r="C92" s="37">
        <f t="shared" si="1"/>
        <v>54</v>
      </c>
      <c r="D92" s="38" t="str">
        <f>INDEX(DS_GIAOVIEN!B:B,MATCH(B92,DS_GIAOVIEN!B:B,0),1)</f>
        <v>Nguyễn Ngọc Khoa</v>
      </c>
    </row>
    <row r="93" spans="1:4" x14ac:dyDescent="0.25">
      <c r="A93" s="37">
        <v>92</v>
      </c>
      <c r="B93" s="38" t="s">
        <v>49</v>
      </c>
      <c r="C93" s="37">
        <f t="shared" si="1"/>
        <v>54</v>
      </c>
      <c r="D93" s="38" t="str">
        <f>INDEX(DS_GIAOVIEN!B:B,MATCH(B93,DS_GIAOVIEN!B:B,0),1)</f>
        <v>Nguyễn Thanh Dinh</v>
      </c>
    </row>
    <row r="94" spans="1:4" x14ac:dyDescent="0.25">
      <c r="A94" s="37">
        <v>93</v>
      </c>
      <c r="B94" s="38" t="s">
        <v>47</v>
      </c>
      <c r="C94" s="37">
        <f t="shared" si="1"/>
        <v>54</v>
      </c>
      <c r="D94" s="38" t="str">
        <f>INDEX(DS_GIAOVIEN!B:B,MATCH(B94,DS_GIAOVIEN!B:B,0),1)</f>
        <v>Nguyễn Võ Danh</v>
      </c>
    </row>
    <row r="95" spans="1:4" x14ac:dyDescent="0.25">
      <c r="A95" s="37">
        <v>94</v>
      </c>
      <c r="B95" s="38" t="s">
        <v>15</v>
      </c>
      <c r="C95" s="37">
        <f t="shared" si="1"/>
        <v>54</v>
      </c>
      <c r="D95" s="38" t="str">
        <f>INDEX(DS_GIAOVIEN!B:B,MATCH(B95,DS_GIAOVIEN!B:B,0),1)</f>
        <v>Vũ Văn Minh</v>
      </c>
    </row>
    <row r="96" spans="1:4" x14ac:dyDescent="0.25">
      <c r="A96" s="37">
        <v>95</v>
      </c>
      <c r="B96" s="38" t="s">
        <v>16</v>
      </c>
      <c r="C96" s="37">
        <f t="shared" si="1"/>
        <v>54</v>
      </c>
      <c r="D96" s="38" t="str">
        <f>INDEX(DS_GIAOVIEN!B:B,MATCH(B96,DS_GIAOVIEN!B:B,0),1)</f>
        <v>Đỗ Tất Thiện</v>
      </c>
    </row>
    <row r="97" spans="1:4" x14ac:dyDescent="0.25">
      <c r="A97" s="37">
        <v>96</v>
      </c>
      <c r="B97" s="38" t="s">
        <v>76</v>
      </c>
      <c r="C97" s="37">
        <f t="shared" si="1"/>
        <v>54</v>
      </c>
      <c r="D97" s="38" t="str">
        <f>INDEX(DS_GIAOVIEN!B:B,MATCH(B97,DS_GIAOVIEN!B:B,0),1)</f>
        <v>Cao Hữu Hải</v>
      </c>
    </row>
    <row r="98" spans="1:4" x14ac:dyDescent="0.25">
      <c r="A98" s="37">
        <v>97</v>
      </c>
      <c r="B98" s="38" t="s">
        <v>150</v>
      </c>
      <c r="C98" s="37">
        <f t="shared" si="1"/>
        <v>54</v>
      </c>
      <c r="D98" s="38" t="str">
        <f>INDEX(DS_GIAOVIEN!B:B,MATCH(B98,DS_GIAOVIEN!B:B,0),1)</f>
        <v>Trịnh Xuân Yên</v>
      </c>
    </row>
    <row r="99" spans="1:4" x14ac:dyDescent="0.25">
      <c r="A99" s="37">
        <v>98</v>
      </c>
      <c r="B99" s="38" t="s">
        <v>77</v>
      </c>
      <c r="C99" s="37">
        <f t="shared" si="1"/>
        <v>54</v>
      </c>
      <c r="D99" s="38" t="str">
        <f>INDEX(DS_GIAOVIEN!B:B,MATCH(B99,DS_GIAOVIEN!B:B,0),1)</f>
        <v>Lê Ngọc An</v>
      </c>
    </row>
    <row r="100" spans="1:4" x14ac:dyDescent="0.25">
      <c r="A100" s="37">
        <v>99</v>
      </c>
      <c r="B100" s="38" t="s">
        <v>6</v>
      </c>
      <c r="C100" s="37">
        <f t="shared" si="1"/>
        <v>54</v>
      </c>
      <c r="D100" s="38" t="str">
        <f>INDEX(DS_GIAOVIEN!B:B,MATCH(B100,DS_GIAOVIEN!B:B,0),1)</f>
        <v>Phạm Thúc Định</v>
      </c>
    </row>
    <row r="101" spans="1:4" x14ac:dyDescent="0.25">
      <c r="A101" s="37">
        <v>100</v>
      </c>
      <c r="B101" s="38" t="s">
        <v>149</v>
      </c>
      <c r="C101" s="37">
        <f t="shared" si="1"/>
        <v>54</v>
      </c>
      <c r="D101" s="38" t="str">
        <f>INDEX(DS_GIAOVIEN!B:B,MATCH(B101,DS_GIAOVIEN!B:B,0),1)</f>
        <v>Trần Văn Khi</v>
      </c>
    </row>
    <row r="102" spans="1:4" x14ac:dyDescent="0.25">
      <c r="A102" s="37">
        <v>101</v>
      </c>
      <c r="B102" s="38" t="s">
        <v>48</v>
      </c>
      <c r="C102" s="37">
        <f t="shared" si="1"/>
        <v>54</v>
      </c>
      <c r="D102" s="38" t="str">
        <f>INDEX(DS_GIAOVIEN!B:B,MATCH(B102,DS_GIAOVIEN!B:B,0),1)</f>
        <v>Nguyễn Khôi Nguyên</v>
      </c>
    </row>
    <row r="103" spans="1:4" x14ac:dyDescent="0.25">
      <c r="A103" s="37">
        <v>102</v>
      </c>
      <c r="B103" s="38" t="s">
        <v>72</v>
      </c>
      <c r="C103" s="37">
        <f t="shared" si="1"/>
        <v>54</v>
      </c>
      <c r="D103" s="38" t="str">
        <f>INDEX(DS_GIAOVIEN!B:B,MATCH(B103,DS_GIAOVIEN!B:B,0),1)</f>
        <v>Trần Ngọc Thanh</v>
      </c>
    </row>
    <row r="104" spans="1:4" x14ac:dyDescent="0.25">
      <c r="A104" s="37">
        <v>103</v>
      </c>
      <c r="B104" s="38" t="s">
        <v>33</v>
      </c>
      <c r="C104" s="37">
        <f t="shared" si="1"/>
        <v>54</v>
      </c>
      <c r="D104" s="38" t="str">
        <f>INDEX(DS_GIAOVIEN!B:B,MATCH(B104,DS_GIAOVIEN!B:B,0),1)</f>
        <v>Nguyễn Hữu Hiệp</v>
      </c>
    </row>
    <row r="105" spans="1:4" x14ac:dyDescent="0.25">
      <c r="A105" s="37">
        <v>104</v>
      </c>
      <c r="B105" s="38" t="s">
        <v>39</v>
      </c>
      <c r="C105" s="37">
        <f t="shared" si="1"/>
        <v>54</v>
      </c>
      <c r="D105" s="38" t="str">
        <f>INDEX(DS_GIAOVIEN!B:B,MATCH(B105,DS_GIAOVIEN!B:B,0),1)</f>
        <v>Trịnh Văn Thuyết</v>
      </c>
    </row>
    <row r="106" spans="1:4" x14ac:dyDescent="0.25">
      <c r="A106" s="37">
        <v>105</v>
      </c>
      <c r="B106" s="38" t="s">
        <v>127</v>
      </c>
      <c r="C106" s="37">
        <f t="shared" si="1"/>
        <v>54</v>
      </c>
      <c r="D106" s="38" t="str">
        <f>INDEX(DS_GIAOVIEN!B:B,MATCH(B106,DS_GIAOVIEN!B:B,0),1)</f>
        <v>Ngô Thị Minh Châu</v>
      </c>
    </row>
    <row r="107" spans="1:4" x14ac:dyDescent="0.25">
      <c r="A107" s="37">
        <v>106</v>
      </c>
      <c r="B107" s="38" t="s">
        <v>137</v>
      </c>
      <c r="C107" s="37">
        <f t="shared" si="1"/>
        <v>54</v>
      </c>
      <c r="D107" s="38" t="str">
        <f>INDEX(DS_GIAOVIEN!B:B,MATCH(B107,DS_GIAOVIEN!B:B,0),1)</f>
        <v>Huỳnh Ngọc Hoài Phương</v>
      </c>
    </row>
    <row r="108" spans="1:4" x14ac:dyDescent="0.25">
      <c r="A108" s="37">
        <v>107</v>
      </c>
      <c r="B108" s="38" t="s">
        <v>24</v>
      </c>
      <c r="C108" s="37">
        <f t="shared" si="1"/>
        <v>54</v>
      </c>
      <c r="D108" s="38" t="str">
        <f>INDEX(DS_GIAOVIEN!B:B,MATCH(B108,DS_GIAOVIEN!B:B,0),1)</f>
        <v>Hoàng Thị Mền</v>
      </c>
    </row>
    <row r="109" spans="1:4" x14ac:dyDescent="0.25">
      <c r="A109" s="37">
        <v>108</v>
      </c>
      <c r="B109" s="38" t="s">
        <v>75</v>
      </c>
      <c r="C109" s="37">
        <f t="shared" si="1"/>
        <v>54</v>
      </c>
      <c r="D109" s="38" t="str">
        <f>INDEX(DS_GIAOVIEN!B:B,MATCH(B109,DS_GIAOVIEN!B:B,0),1)</f>
        <v>Dương Duy Hậu</v>
      </c>
    </row>
    <row r="110" spans="1:4" x14ac:dyDescent="0.25">
      <c r="A110" s="37">
        <v>109</v>
      </c>
      <c r="B110" s="38" t="s">
        <v>30</v>
      </c>
      <c r="C110" s="37">
        <f t="shared" si="1"/>
        <v>54</v>
      </c>
      <c r="D110" s="38" t="str">
        <f>INDEX(DS_GIAOVIEN!B:B,MATCH(B110,DS_GIAOVIEN!B:B,0),1)</f>
        <v>Nguyễn Ngọc Châu</v>
      </c>
    </row>
    <row r="111" spans="1:4" x14ac:dyDescent="0.25">
      <c r="A111" s="37">
        <v>110</v>
      </c>
      <c r="B111" s="38" t="s">
        <v>44</v>
      </c>
      <c r="C111" s="37">
        <f t="shared" si="1"/>
        <v>54</v>
      </c>
      <c r="D111" s="38" t="str">
        <f>INDEX(DS_GIAOVIEN!B:B,MATCH(B111,DS_GIAOVIEN!B:B,0),1)</f>
        <v>Lê Văn Tùng</v>
      </c>
    </row>
    <row r="112" spans="1:4" x14ac:dyDescent="0.25">
      <c r="A112" s="37">
        <v>111</v>
      </c>
      <c r="B112" s="38" t="s">
        <v>147</v>
      </c>
      <c r="C112" s="37">
        <f t="shared" si="1"/>
        <v>54</v>
      </c>
      <c r="D112" s="38" t="str">
        <f>INDEX(DS_GIAOVIEN!B:B,MATCH(B112,DS_GIAOVIEN!B:B,0),1)</f>
        <v>Nguyễn Đức Anh</v>
      </c>
    </row>
    <row r="113" spans="1:4" x14ac:dyDescent="0.25">
      <c r="A113" s="37">
        <v>112</v>
      </c>
      <c r="B113" s="38" t="s">
        <v>40</v>
      </c>
      <c r="C113" s="37">
        <f t="shared" si="1"/>
        <v>54</v>
      </c>
      <c r="D113" s="38" t="str">
        <f>INDEX(DS_GIAOVIEN!B:B,MATCH(B113,DS_GIAOVIEN!B:B,0),1)</f>
        <v>Lê Thị Hạnh</v>
      </c>
    </row>
    <row r="114" spans="1:4" x14ac:dyDescent="0.25">
      <c r="A114" s="37">
        <v>113</v>
      </c>
      <c r="B114" s="38" t="s">
        <v>91</v>
      </c>
      <c r="C114" s="37">
        <f t="shared" si="1"/>
        <v>54</v>
      </c>
      <c r="D114" s="38" t="str">
        <f>INDEX(DS_GIAOVIEN!B:B,MATCH(B114,DS_GIAOVIEN!B:B,0),1)</f>
        <v>Phạm Thị Thúy Vân</v>
      </c>
    </row>
    <row r="115" spans="1:4" x14ac:dyDescent="0.25">
      <c r="A115" s="37">
        <v>114</v>
      </c>
      <c r="B115" s="38" t="s">
        <v>9</v>
      </c>
      <c r="C115" s="37">
        <f t="shared" si="1"/>
        <v>54</v>
      </c>
      <c r="D115" s="38" t="str">
        <f>INDEX(DS_GIAOVIEN!B:B,MATCH(B115,DS_GIAOVIEN!B:B,0),1)</f>
        <v>Nguyễn Thị Ái Nhi</v>
      </c>
    </row>
    <row r="116" spans="1:4" x14ac:dyDescent="0.25">
      <c r="A116" s="37">
        <v>115</v>
      </c>
      <c r="B116" s="38" t="s">
        <v>62</v>
      </c>
      <c r="C116" s="37">
        <f t="shared" si="1"/>
        <v>54</v>
      </c>
      <c r="D116" s="38" t="str">
        <f>INDEX(DS_GIAOVIEN!B:B,MATCH(B116,DS_GIAOVIEN!B:B,0),1)</f>
        <v>Vũ Thị Lệ Thủy</v>
      </c>
    </row>
    <row r="117" spans="1:4" x14ac:dyDescent="0.25">
      <c r="A117" s="37">
        <v>116</v>
      </c>
      <c r="B117" s="38" t="s">
        <v>63</v>
      </c>
      <c r="C117" s="37">
        <f t="shared" si="1"/>
        <v>54</v>
      </c>
      <c r="D117" s="38" t="str">
        <f>INDEX(DS_GIAOVIEN!B:B,MATCH(B117,DS_GIAOVIEN!B:B,0),1)</f>
        <v>Bùi Thị Lý</v>
      </c>
    </row>
    <row r="118" spans="1:4" x14ac:dyDescent="0.25">
      <c r="A118" s="37">
        <v>117</v>
      </c>
      <c r="B118" s="38" t="s">
        <v>98</v>
      </c>
      <c r="C118" s="37">
        <f t="shared" si="1"/>
        <v>54</v>
      </c>
      <c r="D118" s="38" t="str">
        <f>INDEX(DS_GIAOVIEN!B:B,MATCH(B118,DS_GIAOVIEN!B:B,0),1)</f>
        <v>Trần Anh Tuấn</v>
      </c>
    </row>
    <row r="119" spans="1:4" x14ac:dyDescent="0.25">
      <c r="A119" s="37">
        <v>118</v>
      </c>
      <c r="B119" s="38" t="s">
        <v>96</v>
      </c>
      <c r="C119" s="37">
        <f t="shared" si="1"/>
        <v>54</v>
      </c>
      <c r="D119" s="38" t="str">
        <f>INDEX(DS_GIAOVIEN!B:B,MATCH(B119,DS_GIAOVIEN!B:B,0),1)</f>
        <v>Nguyễn Trần Hồng Quân</v>
      </c>
    </row>
    <row r="120" spans="1:4" x14ac:dyDescent="0.25">
      <c r="A120" s="37">
        <v>119</v>
      </c>
      <c r="B120" s="38" t="s">
        <v>215</v>
      </c>
      <c r="C120" s="37">
        <f t="shared" si="1"/>
        <v>54</v>
      </c>
      <c r="D120" s="38" t="str">
        <f>INDEX(DS_GIAOVIEN!B:B,MATCH(B120,DS_GIAOVIEN!B:B,0),1)</f>
        <v>Đinh Phú Nguyên</v>
      </c>
    </row>
    <row r="121" spans="1:4" x14ac:dyDescent="0.25">
      <c r="A121" s="37">
        <v>120</v>
      </c>
      <c r="B121" s="38" t="s">
        <v>29</v>
      </c>
      <c r="C121" s="37">
        <f t="shared" si="1"/>
        <v>54</v>
      </c>
      <c r="D121" s="38" t="str">
        <f>INDEX(DS_GIAOVIEN!B:B,MATCH(B121,DS_GIAOVIEN!B:B,0),1)</f>
        <v>Ngô Thùy Hương</v>
      </c>
    </row>
  </sheetData>
  <autoFilter ref="D1:D121" xr:uid="{1D81A8BD-B09C-40ED-9242-B1A44CA3C24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8D1A-6821-411C-AD37-F8F35C6FEA2E}">
  <dimension ref="A1:D151"/>
  <sheetViews>
    <sheetView tabSelected="1" topLeftCell="A132" workbookViewId="0">
      <selection activeCell="P157" activeCellId="1" sqref="I166 P157"/>
    </sheetView>
  </sheetViews>
  <sheetFormatPr defaultRowHeight="13.8" x14ac:dyDescent="0.25"/>
  <cols>
    <col min="1" max="1" width="8.796875" style="36"/>
    <col min="2" max="2" width="26" customWidth="1"/>
    <col min="3" max="3" width="14.59765625" customWidth="1"/>
    <col min="4" max="4" width="22.3984375" bestFit="1" customWidth="1"/>
  </cols>
  <sheetData>
    <row r="1" spans="1:4" x14ac:dyDescent="0.25">
      <c r="A1" s="16" t="s">
        <v>172</v>
      </c>
      <c r="B1" s="18" t="s">
        <v>1</v>
      </c>
      <c r="C1" s="17" t="s">
        <v>254</v>
      </c>
      <c r="D1" s="17" t="s">
        <v>250</v>
      </c>
    </row>
    <row r="2" spans="1:4" x14ac:dyDescent="0.25">
      <c r="A2" s="21">
        <v>1</v>
      </c>
      <c r="B2" s="38" t="s">
        <v>78</v>
      </c>
      <c r="C2" s="39">
        <v>2</v>
      </c>
      <c r="D2" s="38" t="str">
        <f>INDEX(DS_GIAOVIEN!B:B,MATCH(B2,DS_GIAOVIEN!B:B,0),1)</f>
        <v>Y Khoa Niê Kdăm</v>
      </c>
    </row>
    <row r="3" spans="1:4" x14ac:dyDescent="0.25">
      <c r="A3" s="21">
        <v>2</v>
      </c>
      <c r="B3" s="38" t="s">
        <v>215</v>
      </c>
      <c r="C3" s="39">
        <v>16</v>
      </c>
      <c r="D3" s="38" t="str">
        <f>INDEX(DS_GIAOVIEN!B:B,MATCH(B3,DS_GIAOVIEN!B:B,0),1)</f>
        <v>Đinh Phú Nguyên</v>
      </c>
    </row>
    <row r="4" spans="1:4" x14ac:dyDescent="0.25">
      <c r="A4" s="21">
        <v>3</v>
      </c>
      <c r="B4" s="38" t="s">
        <v>44</v>
      </c>
      <c r="C4" s="39">
        <v>24</v>
      </c>
      <c r="D4" s="38" t="str">
        <f>INDEX(DS_GIAOVIEN!B:B,MATCH(B4,DS_GIAOVIEN!B:B,0),1)</f>
        <v>Lê Văn Tùng</v>
      </c>
    </row>
    <row r="5" spans="1:4" x14ac:dyDescent="0.25">
      <c r="A5" s="21">
        <v>4</v>
      </c>
      <c r="B5" s="38" t="s">
        <v>216</v>
      </c>
      <c r="C5" s="39">
        <v>10</v>
      </c>
      <c r="D5" s="38" t="str">
        <f>INDEX(DS_GIAOVIEN!B:B,MATCH(B5,DS_GIAOVIEN!B:B,0),1)</f>
        <v>Nguyễn Thị Thùy Linh</v>
      </c>
    </row>
    <row r="6" spans="1:4" x14ac:dyDescent="0.25">
      <c r="A6" s="21">
        <v>5</v>
      </c>
      <c r="B6" s="38" t="s">
        <v>75</v>
      </c>
      <c r="C6" s="39">
        <v>48</v>
      </c>
      <c r="D6" s="38" t="str">
        <f>INDEX(DS_GIAOVIEN!B:B,MATCH(B6,DS_GIAOVIEN!B:B,0),1)</f>
        <v>Dương Duy Hậu</v>
      </c>
    </row>
    <row r="7" spans="1:4" x14ac:dyDescent="0.25">
      <c r="A7" s="21">
        <v>6</v>
      </c>
      <c r="B7" s="38" t="s">
        <v>45</v>
      </c>
      <c r="C7" s="39">
        <v>6</v>
      </c>
      <c r="D7" s="38" t="str">
        <f>INDEX(DS_GIAOVIEN!B:B,MATCH(B7,DS_GIAOVIEN!B:B,0),1)</f>
        <v>Dương Thị Thúy Hoàng</v>
      </c>
    </row>
    <row r="8" spans="1:4" x14ac:dyDescent="0.25">
      <c r="A8" s="21">
        <v>7</v>
      </c>
      <c r="B8" s="38" t="s">
        <v>24</v>
      </c>
      <c r="C8" s="39">
        <v>8</v>
      </c>
      <c r="D8" s="38" t="str">
        <f>INDEX(DS_GIAOVIEN!B:B,MATCH(B8,DS_GIAOVIEN!B:B,0),1)</f>
        <v>Hoàng Thị Mền</v>
      </c>
    </row>
    <row r="9" spans="1:4" x14ac:dyDescent="0.25">
      <c r="A9" s="21">
        <v>8</v>
      </c>
      <c r="B9" s="38" t="s">
        <v>40</v>
      </c>
      <c r="C9" s="39">
        <v>8</v>
      </c>
      <c r="D9" s="38" t="str">
        <f>INDEX(DS_GIAOVIEN!B:B,MATCH(B9,DS_GIAOVIEN!B:B,0),1)</f>
        <v>Lê Thị Hạnh</v>
      </c>
    </row>
    <row r="10" spans="1:4" x14ac:dyDescent="0.25">
      <c r="A10" s="21">
        <v>9</v>
      </c>
      <c r="B10" s="38" t="s">
        <v>10</v>
      </c>
      <c r="C10" s="39">
        <v>14</v>
      </c>
      <c r="D10" s="38" t="str">
        <f>INDEX(DS_GIAOVIEN!B:B,MATCH(B10,DS_GIAOVIEN!B:B,0),1)</f>
        <v>Nguyễn Bá Hoàn</v>
      </c>
    </row>
    <row r="11" spans="1:4" x14ac:dyDescent="0.25">
      <c r="A11" s="21">
        <v>10</v>
      </c>
      <c r="B11" s="38" t="s">
        <v>147</v>
      </c>
      <c r="C11" s="39">
        <v>20</v>
      </c>
      <c r="D11" s="38" t="str">
        <f>INDEX(DS_GIAOVIEN!B:B,MATCH(B11,DS_GIAOVIEN!B:B,0),1)</f>
        <v>Nguyễn Đức Anh</v>
      </c>
    </row>
    <row r="12" spans="1:4" x14ac:dyDescent="0.25">
      <c r="A12" s="21">
        <v>11</v>
      </c>
      <c r="B12" s="38" t="s">
        <v>46</v>
      </c>
      <c r="C12" s="39">
        <v>42</v>
      </c>
      <c r="D12" s="38" t="str">
        <f>INDEX(DS_GIAOVIEN!B:B,MATCH(B12,DS_GIAOVIEN!B:B,0),1)</f>
        <v>Nguyễn Như Kiên</v>
      </c>
    </row>
    <row r="13" spans="1:4" x14ac:dyDescent="0.25">
      <c r="A13" s="21">
        <v>12</v>
      </c>
      <c r="B13" s="38" t="s">
        <v>9</v>
      </c>
      <c r="C13" s="39">
        <v>12</v>
      </c>
      <c r="D13" s="38" t="str">
        <f>INDEX(DS_GIAOVIEN!B:B,MATCH(B13,DS_GIAOVIEN!B:B,0),1)</f>
        <v>Nguyễn Thị Ái Nhi</v>
      </c>
    </row>
    <row r="14" spans="1:4" x14ac:dyDescent="0.25">
      <c r="A14" s="21">
        <v>13</v>
      </c>
      <c r="B14" s="38" t="s">
        <v>97</v>
      </c>
      <c r="C14" s="39">
        <v>18</v>
      </c>
      <c r="D14" s="38" t="str">
        <f>INDEX(DS_GIAOVIEN!B:B,MATCH(B14,DS_GIAOVIEN!B:B,0),1)</f>
        <v>Nguyễn Thị Giang</v>
      </c>
    </row>
    <row r="15" spans="1:4" x14ac:dyDescent="0.25">
      <c r="A15" s="21">
        <v>14</v>
      </c>
      <c r="B15" s="38" t="s">
        <v>13</v>
      </c>
      <c r="C15" s="39">
        <v>10</v>
      </c>
      <c r="D15" s="38" t="str">
        <f>INDEX(DS_GIAOVIEN!B:B,MATCH(B15,DS_GIAOVIEN!B:B,0),1)</f>
        <v>Nguyễn Thị Thu Hà</v>
      </c>
    </row>
    <row r="16" spans="1:4" x14ac:dyDescent="0.25">
      <c r="A16" s="21">
        <v>15</v>
      </c>
      <c r="B16" s="38" t="s">
        <v>96</v>
      </c>
      <c r="C16" s="39">
        <v>10</v>
      </c>
      <c r="D16" s="38" t="str">
        <f>INDEX(DS_GIAOVIEN!B:B,MATCH(B16,DS_GIAOVIEN!B:B,0),1)</f>
        <v>Nguyễn Trần Hồng Quân</v>
      </c>
    </row>
    <row r="17" spans="1:4" x14ac:dyDescent="0.25">
      <c r="A17" s="21">
        <v>16</v>
      </c>
      <c r="B17" s="38" t="s">
        <v>67</v>
      </c>
      <c r="C17" s="39">
        <v>14</v>
      </c>
      <c r="D17" s="38" t="str">
        <f>INDEX(DS_GIAOVIEN!B:B,MATCH(B17,DS_GIAOVIEN!B:B,0),1)</f>
        <v>Phạm Thị Thu Hạnh</v>
      </c>
    </row>
    <row r="18" spans="1:4" x14ac:dyDescent="0.25">
      <c r="A18" s="21">
        <v>17</v>
      </c>
      <c r="B18" s="38" t="s">
        <v>14</v>
      </c>
      <c r="C18" s="39">
        <v>10</v>
      </c>
      <c r="D18" s="38" t="str">
        <f>INDEX(DS_GIAOVIEN!B:B,MATCH(B18,DS_GIAOVIEN!B:B,0),1)</f>
        <v>Phan Thị Hà</v>
      </c>
    </row>
    <row r="19" spans="1:4" x14ac:dyDescent="0.25">
      <c r="A19" s="21">
        <v>18</v>
      </c>
      <c r="B19" s="38" t="s">
        <v>98</v>
      </c>
      <c r="C19" s="39">
        <v>8</v>
      </c>
      <c r="D19" s="38" t="str">
        <f>INDEX(DS_GIAOVIEN!B:B,MATCH(B19,DS_GIAOVIEN!B:B,0),1)</f>
        <v>Trần Anh Tuấn</v>
      </c>
    </row>
    <row r="20" spans="1:4" x14ac:dyDescent="0.25">
      <c r="A20" s="21">
        <v>19</v>
      </c>
      <c r="B20" s="38" t="s">
        <v>92</v>
      </c>
      <c r="C20" s="39">
        <v>10</v>
      </c>
      <c r="D20" s="38" t="str">
        <f>INDEX(DS_GIAOVIEN!B:B,MATCH(B20,DS_GIAOVIEN!B:B,0),1)</f>
        <v>Trần Thị Bích Thùy</v>
      </c>
    </row>
    <row r="21" spans="1:4" x14ac:dyDescent="0.25">
      <c r="A21" s="21">
        <v>20</v>
      </c>
      <c r="B21" s="38" t="s">
        <v>91</v>
      </c>
      <c r="C21" s="39">
        <v>6</v>
      </c>
      <c r="D21" s="38" t="str">
        <f>INDEX(DS_GIAOVIEN!B:B,MATCH(B21,DS_GIAOVIEN!B:B,0),1)</f>
        <v>Phạm Thị Thúy Vân</v>
      </c>
    </row>
    <row r="22" spans="1:4" x14ac:dyDescent="0.25">
      <c r="A22" s="21">
        <v>21</v>
      </c>
      <c r="B22" s="38" t="s">
        <v>63</v>
      </c>
      <c r="C22" s="39">
        <v>36</v>
      </c>
      <c r="D22" s="38" t="str">
        <f>INDEX(DS_GIAOVIEN!B:B,MATCH(B22,DS_GIAOVIEN!B:B,0),1)</f>
        <v>Bùi Thị Lý</v>
      </c>
    </row>
    <row r="23" spans="1:4" x14ac:dyDescent="0.25">
      <c r="A23" s="21">
        <v>22</v>
      </c>
      <c r="B23" s="38" t="s">
        <v>29</v>
      </c>
      <c r="C23" s="39">
        <v>32</v>
      </c>
      <c r="D23" s="38" t="str">
        <f>INDEX(DS_GIAOVIEN!B:B,MATCH(B23,DS_GIAOVIEN!B:B,0),1)</f>
        <v>Ngô Thùy Hương</v>
      </c>
    </row>
    <row r="24" spans="1:4" x14ac:dyDescent="0.25">
      <c r="A24" s="21">
        <v>23</v>
      </c>
      <c r="B24" s="38" t="s">
        <v>30</v>
      </c>
      <c r="C24" s="39">
        <v>52</v>
      </c>
      <c r="D24" s="38" t="str">
        <f>INDEX(DS_GIAOVIEN!B:B,MATCH(B24,DS_GIAOVIEN!B:B,0),1)</f>
        <v>Nguyễn Ngọc Châu</v>
      </c>
    </row>
    <row r="25" spans="1:4" x14ac:dyDescent="0.25">
      <c r="A25" s="21">
        <v>24</v>
      </c>
      <c r="B25" s="38" t="s">
        <v>62</v>
      </c>
      <c r="C25" s="39">
        <v>48</v>
      </c>
      <c r="D25" s="38" t="str">
        <f>INDEX(DS_GIAOVIEN!B:B,MATCH(B25,DS_GIAOVIEN!B:B,0),1)</f>
        <v>Vũ Thị Lệ Thủy</v>
      </c>
    </row>
    <row r="26" spans="1:4" x14ac:dyDescent="0.25">
      <c r="A26" s="21">
        <v>25</v>
      </c>
      <c r="B26" s="38" t="s">
        <v>148</v>
      </c>
      <c r="C26" s="39">
        <v>8</v>
      </c>
      <c r="D26" s="38" t="str">
        <f>INDEX(DS_GIAOVIEN!B:B,MATCH(B26,DS_GIAOVIEN!B:B,0),1)</f>
        <v>Y Tô Niê Hra</v>
      </c>
    </row>
    <row r="27" spans="1:4" x14ac:dyDescent="0.25">
      <c r="A27" s="21">
        <v>26</v>
      </c>
      <c r="B27" s="38" t="s">
        <v>39</v>
      </c>
      <c r="C27" s="39">
        <v>20</v>
      </c>
      <c r="D27" s="38" t="str">
        <f>INDEX(DS_GIAOVIEN!B:B,MATCH(B27,DS_GIAOVIEN!B:B,0),1)</f>
        <v>Trịnh Văn Thuyết</v>
      </c>
    </row>
    <row r="28" spans="1:4" x14ac:dyDescent="0.25">
      <c r="A28" s="21">
        <v>27</v>
      </c>
      <c r="B28" s="38" t="s">
        <v>95</v>
      </c>
      <c r="C28" s="39">
        <v>6</v>
      </c>
      <c r="D28" s="38" t="str">
        <f>INDEX(DS_GIAOVIEN!B:B,MATCH(B28,DS_GIAOVIEN!B:B,0),1)</f>
        <v>Nguyễn Thị Hương Thảo</v>
      </c>
    </row>
    <row r="29" spans="1:4" x14ac:dyDescent="0.25">
      <c r="A29" s="21">
        <v>28</v>
      </c>
      <c r="B29" s="38" t="s">
        <v>151</v>
      </c>
      <c r="C29" s="39">
        <v>1</v>
      </c>
      <c r="D29" s="38" t="str">
        <f>INDEX(DS_GIAOVIEN!B:B,MATCH(B29,DS_GIAOVIEN!B:B,0),1)</f>
        <v>Trần Hoàng Anh</v>
      </c>
    </row>
    <row r="30" spans="1:4" x14ac:dyDescent="0.25">
      <c r="A30" s="21">
        <v>29</v>
      </c>
      <c r="B30" s="38" t="s">
        <v>76</v>
      </c>
      <c r="C30" s="39">
        <v>10</v>
      </c>
      <c r="D30" s="38" t="str">
        <f>INDEX(DS_GIAOVIEN!B:B,MATCH(B30,DS_GIAOVIEN!B:B,0),1)</f>
        <v>Cao Hữu Hải</v>
      </c>
    </row>
    <row r="31" spans="1:4" x14ac:dyDescent="0.25">
      <c r="A31" s="21">
        <v>30</v>
      </c>
      <c r="B31" s="38" t="s">
        <v>16</v>
      </c>
      <c r="C31" s="39">
        <v>12</v>
      </c>
      <c r="D31" s="38" t="str">
        <f>INDEX(DS_GIAOVIEN!B:B,MATCH(B31,DS_GIAOVIEN!B:B,0),1)</f>
        <v>Đỗ Tất Thiện</v>
      </c>
    </row>
    <row r="32" spans="1:4" x14ac:dyDescent="0.25">
      <c r="A32" s="21">
        <v>31</v>
      </c>
      <c r="B32" s="38" t="s">
        <v>77</v>
      </c>
      <c r="C32" s="39">
        <v>7</v>
      </c>
      <c r="D32" s="38" t="str">
        <f>INDEX(DS_GIAOVIEN!B:B,MATCH(B32,DS_GIAOVIEN!B:B,0),1)</f>
        <v>Lê Ngọc An</v>
      </c>
    </row>
    <row r="33" spans="1:4" x14ac:dyDescent="0.25">
      <c r="A33" s="21">
        <v>32</v>
      </c>
      <c r="B33" s="38" t="s">
        <v>33</v>
      </c>
      <c r="C33" s="39">
        <v>16</v>
      </c>
      <c r="D33" s="38" t="str">
        <f>INDEX(DS_GIAOVIEN!B:B,MATCH(B33,DS_GIAOVIEN!B:B,0),1)</f>
        <v>Nguyễn Hữu Hiệp</v>
      </c>
    </row>
    <row r="34" spans="1:4" x14ac:dyDescent="0.25">
      <c r="A34" s="21">
        <v>33</v>
      </c>
      <c r="B34" s="38" t="s">
        <v>48</v>
      </c>
      <c r="C34" s="39">
        <v>8</v>
      </c>
      <c r="D34" s="38" t="str">
        <f>INDEX(DS_GIAOVIEN!B:B,MATCH(B34,DS_GIAOVIEN!B:B,0),1)</f>
        <v>Nguyễn Khôi Nguyên</v>
      </c>
    </row>
    <row r="35" spans="1:4" x14ac:dyDescent="0.25">
      <c r="A35" s="21">
        <v>34</v>
      </c>
      <c r="B35" s="38" t="s">
        <v>50</v>
      </c>
      <c r="C35" s="39">
        <v>8</v>
      </c>
      <c r="D35" s="38" t="str">
        <f>INDEX(DS_GIAOVIEN!B:B,MATCH(B35,DS_GIAOVIEN!B:B,0),1)</f>
        <v>Nguyễn Ngọc Khoa</v>
      </c>
    </row>
    <row r="36" spans="1:4" x14ac:dyDescent="0.25">
      <c r="A36" s="21">
        <v>35</v>
      </c>
      <c r="B36" s="38" t="s">
        <v>49</v>
      </c>
      <c r="C36" s="39">
        <v>8</v>
      </c>
      <c r="D36" s="38" t="str">
        <f>INDEX(DS_GIAOVIEN!B:B,MATCH(B36,DS_GIAOVIEN!B:B,0),1)</f>
        <v>Nguyễn Thanh Dinh</v>
      </c>
    </row>
    <row r="37" spans="1:4" x14ac:dyDescent="0.25">
      <c r="A37" s="21">
        <v>36</v>
      </c>
      <c r="B37" s="38" t="s">
        <v>47</v>
      </c>
      <c r="C37" s="39">
        <v>20</v>
      </c>
      <c r="D37" s="38" t="str">
        <f>INDEX(DS_GIAOVIEN!B:B,MATCH(B37,DS_GIAOVIEN!B:B,0),1)</f>
        <v>Nguyễn Võ Danh</v>
      </c>
    </row>
    <row r="38" spans="1:4" x14ac:dyDescent="0.25">
      <c r="A38" s="21">
        <v>37</v>
      </c>
      <c r="B38" s="38" t="s">
        <v>6</v>
      </c>
      <c r="C38" s="39">
        <v>16</v>
      </c>
      <c r="D38" s="38" t="str">
        <f>INDEX(DS_GIAOVIEN!B:B,MATCH(B38,DS_GIAOVIEN!B:B,0),1)</f>
        <v>Phạm Thúc Định</v>
      </c>
    </row>
    <row r="39" spans="1:4" x14ac:dyDescent="0.25">
      <c r="A39" s="21">
        <v>38</v>
      </c>
      <c r="B39" s="38" t="s">
        <v>70</v>
      </c>
      <c r="C39" s="39">
        <v>12</v>
      </c>
      <c r="D39" s="38" t="str">
        <f>INDEX(DS_GIAOVIEN!B:B,MATCH(B39,DS_GIAOVIEN!B:B,0),1)</f>
        <v>Trần Lâm Sơn</v>
      </c>
    </row>
    <row r="40" spans="1:4" x14ac:dyDescent="0.25">
      <c r="A40" s="21">
        <v>39</v>
      </c>
      <c r="B40" s="38" t="s">
        <v>72</v>
      </c>
      <c r="C40" s="39">
        <v>6.5</v>
      </c>
      <c r="D40" s="38" t="str">
        <f>INDEX(DS_GIAOVIEN!B:B,MATCH(B40,DS_GIAOVIEN!B:B,0),1)</f>
        <v>Trần Ngọc Thanh</v>
      </c>
    </row>
    <row r="41" spans="1:4" x14ac:dyDescent="0.25">
      <c r="A41" s="21">
        <v>40</v>
      </c>
      <c r="B41" s="38" t="s">
        <v>149</v>
      </c>
      <c r="C41" s="39">
        <v>8.5</v>
      </c>
      <c r="D41" s="38" t="str">
        <f>INDEX(DS_GIAOVIEN!B:B,MATCH(B41,DS_GIAOVIEN!B:B,0),1)</f>
        <v>Trần Văn Khi</v>
      </c>
    </row>
    <row r="42" spans="1:4" x14ac:dyDescent="0.25">
      <c r="A42" s="21">
        <v>41</v>
      </c>
      <c r="B42" s="38" t="s">
        <v>15</v>
      </c>
      <c r="C42" s="39">
        <v>16</v>
      </c>
      <c r="D42" s="38" t="str">
        <f>INDEX(DS_GIAOVIEN!B:B,MATCH(B42,DS_GIAOVIEN!B:B,0),1)</f>
        <v>Vũ Văn Minh</v>
      </c>
    </row>
    <row r="43" spans="1:4" x14ac:dyDescent="0.25">
      <c r="A43" s="21">
        <v>42</v>
      </c>
      <c r="B43" s="38" t="s">
        <v>115</v>
      </c>
      <c r="C43" s="39">
        <v>7</v>
      </c>
      <c r="D43" s="38" t="str">
        <f>INDEX(DS_GIAOVIEN!B:B,MATCH(B43,DS_GIAOVIEN!B:B,0),1)</f>
        <v>Nguyễn Văn Thành</v>
      </c>
    </row>
    <row r="44" spans="1:4" x14ac:dyDescent="0.25">
      <c r="A44" s="21">
        <v>43</v>
      </c>
      <c r="B44" s="38" t="s">
        <v>114</v>
      </c>
      <c r="C44" s="39">
        <v>2</v>
      </c>
      <c r="D44" s="38" t="str">
        <f>INDEX(DS_GIAOVIEN!B:B,MATCH(B44,DS_GIAOVIEN!B:B,0),1)</f>
        <v>Y Tho Byă</v>
      </c>
    </row>
    <row r="45" spans="1:4" x14ac:dyDescent="0.25">
      <c r="A45" s="21">
        <v>44</v>
      </c>
      <c r="B45" s="38" t="s">
        <v>81</v>
      </c>
      <c r="C45" s="39">
        <v>12</v>
      </c>
      <c r="D45" s="38" t="str">
        <f>INDEX(DS_GIAOVIEN!B:B,MATCH(B45,DS_GIAOVIEN!B:B,0),1)</f>
        <v>Ngô Phạm Hồng Phước</v>
      </c>
    </row>
    <row r="46" spans="1:4" x14ac:dyDescent="0.25">
      <c r="A46" s="21">
        <v>45</v>
      </c>
      <c r="B46" s="38" t="s">
        <v>152</v>
      </c>
      <c r="C46" s="39">
        <v>20</v>
      </c>
      <c r="D46" s="38" t="str">
        <f>INDEX(DS_GIAOVIEN!B:B,MATCH(B46,DS_GIAOVIEN!B:B,0),1)</f>
        <v>Phan Anh Hậu</v>
      </c>
    </row>
    <row r="47" spans="1:4" x14ac:dyDescent="0.25">
      <c r="A47" s="21">
        <v>46</v>
      </c>
      <c r="B47" s="38" t="s">
        <v>64</v>
      </c>
      <c r="C47" s="39">
        <v>22</v>
      </c>
      <c r="D47" s="38" t="str">
        <f>INDEX(DS_GIAOVIEN!B:B,MATCH(B47,DS_GIAOVIEN!B:B,0),1)</f>
        <v>Vũ Đình Thi</v>
      </c>
    </row>
    <row r="48" spans="1:4" x14ac:dyDescent="0.25">
      <c r="A48" s="21">
        <v>47</v>
      </c>
      <c r="B48" s="38" t="s">
        <v>41</v>
      </c>
      <c r="C48" s="39">
        <v>18</v>
      </c>
      <c r="D48" s="38" t="str">
        <f>INDEX(DS_GIAOVIEN!B:B,MATCH(B48,DS_GIAOVIEN!B:B,0),1)</f>
        <v>Chu Văn Cung</v>
      </c>
    </row>
    <row r="49" spans="1:4" x14ac:dyDescent="0.25">
      <c r="A49" s="21">
        <v>48</v>
      </c>
      <c r="B49" s="38" t="s">
        <v>11</v>
      </c>
      <c r="C49" s="39">
        <v>24</v>
      </c>
      <c r="D49" s="38" t="str">
        <f>INDEX(DS_GIAOVIEN!B:B,MATCH(B49,DS_GIAOVIEN!B:B,0),1)</f>
        <v>Đặng Xuân Hạnh</v>
      </c>
    </row>
    <row r="50" spans="1:4" x14ac:dyDescent="0.25">
      <c r="A50" s="21">
        <v>49</v>
      </c>
      <c r="B50" s="38" t="s">
        <v>69</v>
      </c>
      <c r="C50" s="39">
        <v>8</v>
      </c>
      <c r="D50" s="38" t="str">
        <f>INDEX(DS_GIAOVIEN!B:B,MATCH(B50,DS_GIAOVIEN!B:B,0),1)</f>
        <v>Ngô Xuân Thành</v>
      </c>
    </row>
    <row r="51" spans="1:4" x14ac:dyDescent="0.25">
      <c r="A51" s="21">
        <v>50</v>
      </c>
      <c r="B51" s="38" t="s">
        <v>153</v>
      </c>
      <c r="C51" s="39">
        <v>10</v>
      </c>
      <c r="D51" s="38" t="str">
        <f>INDEX(DS_GIAOVIEN!B:B,MATCH(B51,DS_GIAOVIEN!B:B,0),1)</f>
        <v>Ngô Quang Vinh</v>
      </c>
    </row>
    <row r="52" spans="1:4" x14ac:dyDescent="0.25">
      <c r="A52" s="21">
        <v>51</v>
      </c>
      <c r="B52" s="38" t="s">
        <v>17</v>
      </c>
      <c r="C52" s="39">
        <v>12</v>
      </c>
      <c r="D52" s="38" t="str">
        <f>INDEX(DS_GIAOVIEN!B:B,MATCH(B52,DS_GIAOVIEN!B:B,0),1)</f>
        <v>Nguyễn Hữu Hoành</v>
      </c>
    </row>
    <row r="53" spans="1:4" x14ac:dyDescent="0.25">
      <c r="A53" s="21">
        <v>52</v>
      </c>
      <c r="B53" s="38" t="s">
        <v>155</v>
      </c>
      <c r="C53" s="39">
        <v>2</v>
      </c>
      <c r="D53" s="38" t="str">
        <f>INDEX(DS_GIAOVIEN!B:B,MATCH(B53,DS_GIAOVIEN!B:B,0),1)</f>
        <v>Nguyễn Hữu Nghĩa</v>
      </c>
    </row>
    <row r="54" spans="1:4" x14ac:dyDescent="0.25">
      <c r="A54" s="21">
        <v>53</v>
      </c>
      <c r="B54" s="38" t="s">
        <v>121</v>
      </c>
      <c r="C54" s="39">
        <v>12</v>
      </c>
      <c r="D54" s="38" t="str">
        <f>INDEX(DS_GIAOVIEN!B:B,MATCH(B54,DS_GIAOVIEN!B:B,0),1)</f>
        <v>Nguyễn Ngọc Tuấn</v>
      </c>
    </row>
    <row r="55" spans="1:4" x14ac:dyDescent="0.25">
      <c r="A55" s="21">
        <v>54</v>
      </c>
      <c r="B55" s="38" t="s">
        <v>211</v>
      </c>
      <c r="C55" s="39">
        <v>11</v>
      </c>
      <c r="D55" s="38" t="str">
        <f>INDEX(DS_GIAOVIEN!B:B,MATCH(B55,DS_GIAOVIEN!B:B,0),1)</f>
        <v>Nguyễn Tiến Mạnh</v>
      </c>
    </row>
    <row r="56" spans="1:4" x14ac:dyDescent="0.25">
      <c r="A56" s="21">
        <v>55</v>
      </c>
      <c r="B56" s="38" t="s">
        <v>154</v>
      </c>
      <c r="C56" s="39">
        <v>10</v>
      </c>
      <c r="D56" s="38" t="str">
        <f>INDEX(DS_GIAOVIEN!B:B,MATCH(B56,DS_GIAOVIEN!B:B,0),1)</f>
        <v>Nguyễn Trung Hiếu</v>
      </c>
    </row>
    <row r="57" spans="1:4" x14ac:dyDescent="0.25">
      <c r="A57" s="21">
        <v>56</v>
      </c>
      <c r="B57" s="38" t="s">
        <v>4</v>
      </c>
      <c r="C57" s="39">
        <v>36</v>
      </c>
      <c r="D57" s="38" t="str">
        <f>INDEX(DS_GIAOVIEN!B:B,MATCH(B57,DS_GIAOVIEN!B:B,0),1)</f>
        <v>Phan Văn Kỳ</v>
      </c>
    </row>
    <row r="58" spans="1:4" x14ac:dyDescent="0.25">
      <c r="A58" s="21">
        <v>57</v>
      </c>
      <c r="B58" s="38" t="s">
        <v>12</v>
      </c>
      <c r="C58" s="39">
        <v>13</v>
      </c>
      <c r="D58" s="38" t="str">
        <f>INDEX(DS_GIAOVIEN!B:B,MATCH(B58,DS_GIAOVIEN!B:B,0),1)</f>
        <v>Trần Thanh Dũng</v>
      </c>
    </row>
    <row r="59" spans="1:4" x14ac:dyDescent="0.25">
      <c r="A59" s="21">
        <v>58</v>
      </c>
      <c r="B59" s="38" t="s">
        <v>120</v>
      </c>
      <c r="C59" s="39">
        <v>10</v>
      </c>
      <c r="D59" s="38" t="str">
        <f>INDEX(DS_GIAOVIEN!B:B,MATCH(B59,DS_GIAOVIEN!B:B,0),1)</f>
        <v>Trần Thanh Hải</v>
      </c>
    </row>
    <row r="60" spans="1:4" x14ac:dyDescent="0.25">
      <c r="A60" s="21">
        <v>59</v>
      </c>
      <c r="B60" s="38" t="s">
        <v>156</v>
      </c>
      <c r="C60" s="39">
        <v>20</v>
      </c>
      <c r="D60" s="38" t="str">
        <f>INDEX(DS_GIAOVIEN!B:B,MATCH(B60,DS_GIAOVIEN!B:B,0),1)</f>
        <v>Trần Văn Hương</v>
      </c>
    </row>
    <row r="61" spans="1:4" x14ac:dyDescent="0.25">
      <c r="A61" s="21">
        <v>60</v>
      </c>
      <c r="B61" s="38" t="s">
        <v>68</v>
      </c>
      <c r="C61" s="39">
        <v>16</v>
      </c>
      <c r="D61" s="38" t="str">
        <f>INDEX(DS_GIAOVIEN!B:B,MATCH(B61,DS_GIAOVIEN!B:B,0),1)</f>
        <v>Trần Văn Tường</v>
      </c>
    </row>
    <row r="62" spans="1:4" x14ac:dyDescent="0.25">
      <c r="A62" s="21">
        <v>61</v>
      </c>
      <c r="B62" s="38" t="s">
        <v>212</v>
      </c>
      <c r="C62" s="39">
        <v>24</v>
      </c>
      <c r="D62" s="38" t="str">
        <f>INDEX(DS_GIAOVIEN!B:B,MATCH(B62,DS_GIAOVIEN!B:B,0),1)</f>
        <v>Võ Anh Vũ</v>
      </c>
    </row>
    <row r="63" spans="1:4" x14ac:dyDescent="0.25">
      <c r="A63" s="21">
        <v>62</v>
      </c>
      <c r="B63" s="38" t="s">
        <v>5</v>
      </c>
      <c r="C63" s="39">
        <v>12</v>
      </c>
      <c r="D63" s="38" t="str">
        <f>INDEX(DS_GIAOVIEN!B:B,MATCH(B63,DS_GIAOVIEN!B:B,0),1)</f>
        <v>Vũ Văn Quang</v>
      </c>
    </row>
    <row r="64" spans="1:4" x14ac:dyDescent="0.25">
      <c r="A64" s="21">
        <v>63</v>
      </c>
      <c r="B64" s="38" t="s">
        <v>73</v>
      </c>
      <c r="C64" s="39">
        <v>10</v>
      </c>
      <c r="D64" s="38" t="str">
        <f>INDEX(DS_GIAOVIEN!B:B,MATCH(B64,DS_GIAOVIEN!B:B,0),1)</f>
        <v>Y Louit Niê</v>
      </c>
    </row>
    <row r="65" spans="1:4" x14ac:dyDescent="0.25">
      <c r="A65" s="21">
        <v>64</v>
      </c>
      <c r="B65" s="38" t="s">
        <v>123</v>
      </c>
      <c r="C65" s="39">
        <v>2</v>
      </c>
      <c r="D65" s="38" t="str">
        <f>INDEX(DS_GIAOVIEN!B:B,MATCH(B65,DS_GIAOVIEN!B:B,0),1)</f>
        <v>Y Si la Knul</v>
      </c>
    </row>
    <row r="66" spans="1:4" x14ac:dyDescent="0.25">
      <c r="A66" s="21">
        <v>65</v>
      </c>
      <c r="B66" s="38" t="s">
        <v>18</v>
      </c>
      <c r="C66" s="39">
        <v>12</v>
      </c>
      <c r="D66" s="38" t="str">
        <f>INDEX(DS_GIAOVIEN!B:B,MATCH(B66,DS_GIAOVIEN!B:B,0),1)</f>
        <v>Nguyễn Quốc Toàn</v>
      </c>
    </row>
    <row r="67" spans="1:4" x14ac:dyDescent="0.25">
      <c r="A67" s="21">
        <v>66</v>
      </c>
      <c r="B67" s="38" t="s">
        <v>122</v>
      </c>
      <c r="C67" s="39">
        <v>16</v>
      </c>
      <c r="D67" s="38" t="str">
        <f>INDEX(DS_GIAOVIEN!B:B,MATCH(B67,DS_GIAOVIEN!B:B,0),1)</f>
        <v>Nguyễn Thành Chung</v>
      </c>
    </row>
    <row r="68" spans="1:4" x14ac:dyDescent="0.25">
      <c r="A68" s="21">
        <v>67</v>
      </c>
      <c r="B68" s="38" t="s">
        <v>109</v>
      </c>
      <c r="C68" s="39">
        <v>16</v>
      </c>
      <c r="D68" s="38" t="str">
        <f>INDEX(DS_GIAOVIEN!B:B,MATCH(B68,DS_GIAOVIEN!B:B,0),1)</f>
        <v>Phạm Tiến Thành</v>
      </c>
    </row>
    <row r="69" spans="1:4" x14ac:dyDescent="0.25">
      <c r="A69" s="21">
        <v>68</v>
      </c>
      <c r="B69" s="38" t="s">
        <v>90</v>
      </c>
      <c r="C69" s="39">
        <v>16</v>
      </c>
      <c r="D69" s="38" t="str">
        <f>INDEX(DS_GIAOVIEN!B:B,MATCH(B69,DS_GIAOVIEN!B:B,0),1)</f>
        <v>Cao Nữ Việt Anh</v>
      </c>
    </row>
    <row r="70" spans="1:4" x14ac:dyDescent="0.25">
      <c r="A70" s="21">
        <v>69</v>
      </c>
      <c r="B70" s="38" t="s">
        <v>228</v>
      </c>
      <c r="C70" s="39">
        <v>16</v>
      </c>
      <c r="D70" s="38" t="str">
        <f>INDEX(DS_GIAOVIEN!B:B,MATCH(B70,DS_GIAOVIEN!B:B,0),1)</f>
        <v>H' Bai Hmok</v>
      </c>
    </row>
    <row r="71" spans="1:4" x14ac:dyDescent="0.25">
      <c r="A71" s="21">
        <v>70</v>
      </c>
      <c r="B71" s="38" t="s">
        <v>124</v>
      </c>
      <c r="C71" s="39">
        <v>16</v>
      </c>
      <c r="D71" s="38" t="str">
        <f>INDEX(DS_GIAOVIEN!B:B,MATCH(B71,DS_GIAOVIEN!B:B,0),1)</f>
        <v>H' Diện Niê</v>
      </c>
    </row>
    <row r="72" spans="1:4" x14ac:dyDescent="0.25">
      <c r="A72" s="21">
        <v>71</v>
      </c>
      <c r="B72" s="38" t="s">
        <v>89</v>
      </c>
      <c r="C72" s="39">
        <v>20</v>
      </c>
      <c r="D72" s="38" t="str">
        <f>INDEX(DS_GIAOVIEN!B:B,MATCH(B72,DS_GIAOVIEN!B:B,0),1)</f>
        <v>Ngô Thị Mỹ Hạnh</v>
      </c>
    </row>
    <row r="73" spans="1:4" x14ac:dyDescent="0.25">
      <c r="A73" s="21">
        <v>72</v>
      </c>
      <c r="B73" s="38" t="s">
        <v>31</v>
      </c>
      <c r="C73" s="39">
        <v>24</v>
      </c>
      <c r="D73" s="38" t="str">
        <f>INDEX(DS_GIAOVIEN!B:B,MATCH(B73,DS_GIAOVIEN!B:B,0),1)</f>
        <v>Nguyễn Thị Hồng Phương</v>
      </c>
    </row>
    <row r="74" spans="1:4" x14ac:dyDescent="0.25">
      <c r="A74" s="21">
        <v>73</v>
      </c>
      <c r="B74" s="38" t="s">
        <v>32</v>
      </c>
      <c r="C74" s="39">
        <v>20</v>
      </c>
      <c r="D74" s="38" t="str">
        <f>INDEX(DS_GIAOVIEN!B:B,MATCH(B74,DS_GIAOVIEN!B:B,0),1)</f>
        <v>Trần Ngọc Điệp</v>
      </c>
    </row>
    <row r="75" spans="1:4" x14ac:dyDescent="0.25">
      <c r="A75" s="21">
        <v>74</v>
      </c>
      <c r="B75" s="38" t="s">
        <v>169</v>
      </c>
      <c r="C75" s="39">
        <v>16</v>
      </c>
      <c r="D75" s="38" t="str">
        <f>INDEX(DS_GIAOVIEN!B:B,MATCH(B75,DS_GIAOVIEN!B:B,0),1)</f>
        <v>Trần Thị Thơ</v>
      </c>
    </row>
    <row r="76" spans="1:4" x14ac:dyDescent="0.25">
      <c r="A76" s="21">
        <v>75</v>
      </c>
      <c r="B76" s="38" t="s">
        <v>110</v>
      </c>
      <c r="C76" s="39">
        <v>16</v>
      </c>
      <c r="D76" s="38" t="str">
        <f>INDEX(DS_GIAOVIEN!B:B,MATCH(B76,DS_GIAOVIEN!B:B,0),1)</f>
        <v>Trần Thị Thu Thúy</v>
      </c>
    </row>
    <row r="77" spans="1:4" x14ac:dyDescent="0.25">
      <c r="A77" s="21">
        <v>76</v>
      </c>
      <c r="B77" s="38" t="s">
        <v>111</v>
      </c>
      <c r="C77" s="39">
        <v>16</v>
      </c>
      <c r="D77" s="38" t="str">
        <f>INDEX(DS_GIAOVIEN!B:B,MATCH(B77,DS_GIAOVIEN!B:B,0),1)</f>
        <v>Vũ Thị Hoài Thanh</v>
      </c>
    </row>
    <row r="78" spans="1:4" x14ac:dyDescent="0.25">
      <c r="A78" s="21">
        <v>77</v>
      </c>
      <c r="B78" s="38" t="s">
        <v>116</v>
      </c>
      <c r="C78" s="39">
        <v>28</v>
      </c>
      <c r="D78" s="38" t="str">
        <f>INDEX(DS_GIAOVIEN!B:B,MATCH(B78,DS_GIAOVIEN!B:B,0),1)</f>
        <v>Nguyễn Thị Phương</v>
      </c>
    </row>
    <row r="79" spans="1:4" x14ac:dyDescent="0.25">
      <c r="A79" s="21">
        <v>78</v>
      </c>
      <c r="B79" s="38" t="s">
        <v>117</v>
      </c>
      <c r="C79" s="39">
        <v>36</v>
      </c>
      <c r="D79" s="38" t="str">
        <f>INDEX(DS_GIAOVIEN!B:B,MATCH(B79,DS_GIAOVIEN!B:B,0),1)</f>
        <v>Phạm Văn Quang</v>
      </c>
    </row>
    <row r="80" spans="1:4" x14ac:dyDescent="0.25">
      <c r="A80" s="21">
        <v>79</v>
      </c>
      <c r="B80" s="38" t="s">
        <v>168</v>
      </c>
      <c r="C80" s="39">
        <v>48</v>
      </c>
      <c r="D80" s="38" t="str">
        <f>INDEX(DS_GIAOVIEN!B:B,MATCH(B80,DS_GIAOVIEN!B:B,0),1)</f>
        <v>Phan Bằng Thạch</v>
      </c>
    </row>
    <row r="81" spans="1:4" x14ac:dyDescent="0.25">
      <c r="A81" s="21">
        <v>80</v>
      </c>
      <c r="B81" s="38" t="s">
        <v>93</v>
      </c>
      <c r="C81" s="39">
        <v>52</v>
      </c>
      <c r="D81" s="38" t="str">
        <f>INDEX(DS_GIAOVIEN!B:B,MATCH(B81,DS_GIAOVIEN!B:B,0),1)</f>
        <v>Hán Văn Trung</v>
      </c>
    </row>
    <row r="82" spans="1:4" x14ac:dyDescent="0.25">
      <c r="A82" s="21">
        <v>81</v>
      </c>
      <c r="B82" s="38" t="s">
        <v>94</v>
      </c>
      <c r="C82" s="39">
        <v>46</v>
      </c>
      <c r="D82" s="38" t="str">
        <f>INDEX(DS_GIAOVIEN!B:B,MATCH(B82,DS_GIAOVIEN!B:B,0),1)</f>
        <v>Nguyễn Thị Mộng Linh</v>
      </c>
    </row>
    <row r="83" spans="1:4" x14ac:dyDescent="0.25">
      <c r="A83" s="21">
        <v>82</v>
      </c>
      <c r="B83" s="38" t="s">
        <v>113</v>
      </c>
      <c r="C83" s="39">
        <v>50</v>
      </c>
      <c r="D83" s="38" t="str">
        <f>INDEX(DS_GIAOVIEN!B:B,MATCH(B83,DS_GIAOVIEN!B:B,0),1)</f>
        <v>Trịnh Thị Mỹ Hạnh</v>
      </c>
    </row>
    <row r="84" spans="1:4" x14ac:dyDescent="0.25">
      <c r="A84" s="21">
        <v>83</v>
      </c>
      <c r="B84" s="38" t="s">
        <v>112</v>
      </c>
      <c r="C84" s="39">
        <v>48</v>
      </c>
      <c r="D84" s="38" t="str">
        <f>INDEX(DS_GIAOVIEN!B:B,MATCH(B84,DS_GIAOVIEN!B:B,0),1)</f>
        <v>Phan Thị Loan</v>
      </c>
    </row>
    <row r="85" spans="1:4" x14ac:dyDescent="0.25">
      <c r="A85" s="21">
        <v>84</v>
      </c>
      <c r="B85" s="38" t="s">
        <v>21</v>
      </c>
      <c r="C85" s="39">
        <v>36</v>
      </c>
      <c r="D85" s="38" t="str">
        <f>INDEX(DS_GIAOVIEN!B:B,MATCH(B85,DS_GIAOVIEN!B:B,0),1)</f>
        <v>Nguyễn Xuân Vỹ</v>
      </c>
    </row>
    <row r="86" spans="1:4" x14ac:dyDescent="0.25">
      <c r="A86" s="21">
        <v>85</v>
      </c>
      <c r="B86" s="38" t="s">
        <v>20</v>
      </c>
      <c r="C86" s="39">
        <v>84</v>
      </c>
      <c r="D86" s="38" t="str">
        <f>INDEX(DS_GIAOVIEN!B:B,MATCH(B86,DS_GIAOVIEN!B:B,0),1)</f>
        <v>Trương Minh Trí</v>
      </c>
    </row>
    <row r="87" spans="1:4" x14ac:dyDescent="0.25">
      <c r="A87" s="21">
        <v>86</v>
      </c>
      <c r="B87" s="38" t="s">
        <v>19</v>
      </c>
      <c r="C87" s="39">
        <v>50</v>
      </c>
      <c r="D87" s="38" t="str">
        <f>INDEX(DS_GIAOVIEN!B:B,MATCH(B87,DS_GIAOVIEN!B:B,0),1)</f>
        <v>Đào Xuân Quỳnh</v>
      </c>
    </row>
    <row r="88" spans="1:4" x14ac:dyDescent="0.25">
      <c r="A88" s="21">
        <v>87</v>
      </c>
      <c r="B88" s="38" t="s">
        <v>8</v>
      </c>
      <c r="C88" s="39">
        <v>16</v>
      </c>
      <c r="D88" s="38" t="str">
        <f>INDEX(DS_GIAOVIEN!B:B,MATCH(B88,DS_GIAOVIEN!B:B,0),1)</f>
        <v>Lâm Đức Sơn</v>
      </c>
    </row>
    <row r="89" spans="1:4" x14ac:dyDescent="0.25">
      <c r="A89" s="21">
        <v>88</v>
      </c>
      <c r="B89" s="38" t="s">
        <v>104</v>
      </c>
      <c r="C89" s="39">
        <v>56</v>
      </c>
      <c r="D89" s="38" t="str">
        <f>INDEX(DS_GIAOVIEN!B:B,MATCH(B89,DS_GIAOVIEN!B:B,0),1)</f>
        <v>Lê Khánh Toàn</v>
      </c>
    </row>
    <row r="90" spans="1:4" x14ac:dyDescent="0.25">
      <c r="A90" s="21">
        <v>89</v>
      </c>
      <c r="B90" s="38" t="s">
        <v>7</v>
      </c>
      <c r="C90" s="39">
        <v>24</v>
      </c>
      <c r="D90" s="38" t="str">
        <f>INDEX(DS_GIAOVIEN!B:B,MATCH(B90,DS_GIAOVIEN!B:B,0),1)</f>
        <v>Lê Ngọc Trung</v>
      </c>
    </row>
    <row r="91" spans="1:4" x14ac:dyDescent="0.25">
      <c r="A91" s="21">
        <v>90</v>
      </c>
      <c r="B91" s="38" t="s">
        <v>23</v>
      </c>
      <c r="C91" s="39">
        <v>74</v>
      </c>
      <c r="D91" s="38" t="str">
        <f>INDEX(DS_GIAOVIEN!B:B,MATCH(B91,DS_GIAOVIEN!B:B,0),1)</f>
        <v>Nguyễn Như Trung</v>
      </c>
    </row>
    <row r="92" spans="1:4" x14ac:dyDescent="0.25">
      <c r="A92" s="21">
        <v>91</v>
      </c>
      <c r="B92" s="38" t="s">
        <v>13</v>
      </c>
      <c r="C92" s="39">
        <v>48</v>
      </c>
      <c r="D92" s="38" t="str">
        <f>INDEX(DS_GIAOVIEN!B:B,MATCH(B92,DS_GIAOVIEN!B:B,0),1)</f>
        <v>Nguyễn Thị Thu Hà</v>
      </c>
    </row>
    <row r="93" spans="1:4" x14ac:dyDescent="0.25">
      <c r="A93" s="21">
        <v>92</v>
      </c>
      <c r="B93" s="38" t="s">
        <v>25</v>
      </c>
      <c r="C93" s="39">
        <v>56</v>
      </c>
      <c r="D93" s="38" t="str">
        <f>INDEX(DS_GIAOVIEN!B:B,MATCH(B93,DS_GIAOVIEN!B:B,0),1)</f>
        <v>Đỗ Thị Quỳnh Anh</v>
      </c>
    </row>
    <row r="94" spans="1:4" x14ac:dyDescent="0.25">
      <c r="A94" s="21">
        <v>93</v>
      </c>
      <c r="B94" s="38" t="s">
        <v>27</v>
      </c>
      <c r="C94" s="39">
        <v>100</v>
      </c>
      <c r="D94" s="38" t="str">
        <f>INDEX(DS_GIAOVIEN!B:B,MATCH(B94,DS_GIAOVIEN!B:B,0),1)</f>
        <v>Lê Thị Hạnh Phúc</v>
      </c>
    </row>
    <row r="95" spans="1:4" x14ac:dyDescent="0.25">
      <c r="A95" s="21">
        <v>94</v>
      </c>
      <c r="B95" s="38" t="s">
        <v>102</v>
      </c>
      <c r="C95" s="39">
        <v>68</v>
      </c>
      <c r="D95" s="38" t="str">
        <f>INDEX(DS_GIAOVIEN!B:B,MATCH(B95,DS_GIAOVIEN!B:B,0),1)</f>
        <v>Đặng Văn Dung</v>
      </c>
    </row>
    <row r="96" spans="1:4" x14ac:dyDescent="0.25">
      <c r="A96" s="21">
        <v>95</v>
      </c>
      <c r="B96" s="38" t="s">
        <v>119</v>
      </c>
      <c r="C96" s="39">
        <v>56</v>
      </c>
      <c r="D96" s="38" t="str">
        <f>INDEX(DS_GIAOVIEN!B:B,MATCH(B96,DS_GIAOVIEN!B:B,0),1)</f>
        <v>Nguyễn Thị Bích Ngọc</v>
      </c>
    </row>
    <row r="97" spans="1:4" x14ac:dyDescent="0.25">
      <c r="A97" s="21">
        <v>96</v>
      </c>
      <c r="B97" s="38" t="s">
        <v>103</v>
      </c>
      <c r="C97" s="39">
        <v>104</v>
      </c>
      <c r="D97" s="38" t="str">
        <f>INDEX(DS_GIAOVIEN!B:B,MATCH(B97,DS_GIAOVIEN!B:B,0),1)</f>
        <v>Nguyễn Trung Kiên</v>
      </c>
    </row>
    <row r="98" spans="1:4" x14ac:dyDescent="0.25">
      <c r="A98" s="21">
        <v>97</v>
      </c>
      <c r="B98" s="38" t="s">
        <v>105</v>
      </c>
      <c r="C98" s="39">
        <v>36</v>
      </c>
      <c r="D98" s="38" t="str">
        <f>INDEX(DS_GIAOVIEN!B:B,MATCH(B98,DS_GIAOVIEN!B:B,0),1)</f>
        <v>Trịnh Thị Thảo Quyên</v>
      </c>
    </row>
    <row r="99" spans="1:4" x14ac:dyDescent="0.25">
      <c r="A99" s="21">
        <v>98</v>
      </c>
      <c r="B99" s="38" t="s">
        <v>106</v>
      </c>
      <c r="C99" s="39">
        <v>40</v>
      </c>
      <c r="D99" s="38" t="str">
        <f>INDEX(DS_GIAOVIEN!B:B,MATCH(B99,DS_GIAOVIEN!B:B,0),1)</f>
        <v>H Chel H' Mok</v>
      </c>
    </row>
    <row r="100" spans="1:4" x14ac:dyDescent="0.25">
      <c r="A100" s="21">
        <v>99</v>
      </c>
      <c r="B100" s="38" t="s">
        <v>227</v>
      </c>
      <c r="C100" s="39">
        <v>16</v>
      </c>
      <c r="D100" s="38" t="str">
        <f>INDEX(DS_GIAOVIEN!B:B,MATCH(B100,DS_GIAOVIEN!B:B,0),1)</f>
        <v>Lê Thị Thu Hà</v>
      </c>
    </row>
    <row r="101" spans="1:4" x14ac:dyDescent="0.25">
      <c r="A101" s="21">
        <v>100</v>
      </c>
      <c r="B101" s="38" t="s">
        <v>107</v>
      </c>
      <c r="C101" s="39">
        <v>52</v>
      </c>
      <c r="D101" s="38" t="str">
        <f>INDEX(DS_GIAOVIEN!B:B,MATCH(B101,DS_GIAOVIEN!B:B,0),1)</f>
        <v>Nguyễn Thị Lạc Việt</v>
      </c>
    </row>
    <row r="102" spans="1:4" x14ac:dyDescent="0.25">
      <c r="A102" s="21">
        <v>101</v>
      </c>
      <c r="B102" s="38" t="s">
        <v>82</v>
      </c>
      <c r="C102" s="39">
        <v>48</v>
      </c>
      <c r="D102" s="38" t="str">
        <f>INDEX(DS_GIAOVIEN!B:B,MATCH(B102,DS_GIAOVIEN!B:B,0),1)</f>
        <v>Huỳnh Ngọc Tùng</v>
      </c>
    </row>
    <row r="103" spans="1:4" x14ac:dyDescent="0.25">
      <c r="A103" s="21">
        <v>102</v>
      </c>
      <c r="B103" s="38" t="s">
        <v>161</v>
      </c>
      <c r="C103" s="39">
        <v>72</v>
      </c>
      <c r="D103" s="38" t="str">
        <f>INDEX(DS_GIAOVIEN!B:B,MATCH(B103,DS_GIAOVIEN!B:B,0),1)</f>
        <v>Phạm Minh Tuấn</v>
      </c>
    </row>
    <row r="104" spans="1:4" x14ac:dyDescent="0.25">
      <c r="A104" s="21">
        <v>103</v>
      </c>
      <c r="B104" s="38" t="s">
        <v>162</v>
      </c>
      <c r="C104" s="39">
        <v>24</v>
      </c>
      <c r="D104" s="38" t="str">
        <f>INDEX(DS_GIAOVIEN!B:B,MATCH(B104,DS_GIAOVIEN!B:B,0),1)</f>
        <v>Cao Tiến Nam</v>
      </c>
    </row>
    <row r="105" spans="1:4" x14ac:dyDescent="0.25">
      <c r="A105" s="21">
        <v>104</v>
      </c>
      <c r="B105" s="38" t="s">
        <v>101</v>
      </c>
      <c r="C105" s="39">
        <v>20</v>
      </c>
      <c r="D105" s="38" t="str">
        <f>INDEX(DS_GIAOVIEN!B:B,MATCH(B105,DS_GIAOVIEN!B:B,0),1)</f>
        <v>Cao Xuân Cường</v>
      </c>
    </row>
    <row r="106" spans="1:4" x14ac:dyDescent="0.25">
      <c r="A106" s="21">
        <v>105</v>
      </c>
      <c r="B106" s="38" t="s">
        <v>163</v>
      </c>
      <c r="C106" s="39">
        <v>48</v>
      </c>
      <c r="D106" s="38" t="str">
        <f>INDEX(DS_GIAOVIEN!B:B,MATCH(B106,DS_GIAOVIEN!B:B,0),1)</f>
        <v>Chu Văn Đức</v>
      </c>
    </row>
    <row r="107" spans="1:4" x14ac:dyDescent="0.25">
      <c r="A107" s="21">
        <v>106</v>
      </c>
      <c r="B107" s="38" t="s">
        <v>37</v>
      </c>
      <c r="C107" s="39">
        <v>72</v>
      </c>
      <c r="D107" s="38" t="str">
        <f>INDEX(DS_GIAOVIEN!B:B,MATCH(B107,DS_GIAOVIEN!B:B,0),1)</f>
        <v>Đào Minh Thủy</v>
      </c>
    </row>
    <row r="108" spans="1:4" x14ac:dyDescent="0.25">
      <c r="A108" s="21">
        <v>107</v>
      </c>
      <c r="B108" s="38" t="s">
        <v>164</v>
      </c>
      <c r="C108" s="39">
        <v>24</v>
      </c>
      <c r="D108" s="38" t="str">
        <f>INDEX(DS_GIAOVIEN!B:B,MATCH(B108,DS_GIAOVIEN!B:B,0),1)</f>
        <v>Đinh Thị Yến</v>
      </c>
    </row>
    <row r="109" spans="1:4" x14ac:dyDescent="0.25">
      <c r="A109" s="21">
        <v>108</v>
      </c>
      <c r="B109" s="38" t="s">
        <v>71</v>
      </c>
      <c r="C109" s="39">
        <v>40</v>
      </c>
      <c r="D109" s="38" t="str">
        <f>INDEX(DS_GIAOVIEN!B:B,MATCH(B109,DS_GIAOVIEN!B:B,0),1)</f>
        <v>Dương Hồng Phước</v>
      </c>
    </row>
    <row r="110" spans="1:4" x14ac:dyDescent="0.25">
      <c r="A110" s="21">
        <v>109</v>
      </c>
      <c r="B110" s="38" t="s">
        <v>36</v>
      </c>
      <c r="C110" s="39">
        <v>72</v>
      </c>
      <c r="D110" s="38" t="str">
        <f>INDEX(DS_GIAOVIEN!B:B,MATCH(B110,DS_GIAOVIEN!B:B,0),1)</f>
        <v>Hồ Đức Nhân</v>
      </c>
    </row>
    <row r="111" spans="1:4" x14ac:dyDescent="0.25">
      <c r="A111" s="21">
        <v>110</v>
      </c>
      <c r="B111" s="38" t="s">
        <v>38</v>
      </c>
      <c r="C111" s="39">
        <v>72</v>
      </c>
      <c r="D111" s="38" t="str">
        <f>INDEX(DS_GIAOVIEN!B:B,MATCH(B111,DS_GIAOVIEN!B:B,0),1)</f>
        <v>Hồ Văn Thông</v>
      </c>
    </row>
    <row r="112" spans="1:4" x14ac:dyDescent="0.25">
      <c r="A112" s="21">
        <v>111</v>
      </c>
      <c r="B112" s="38" t="s">
        <v>54</v>
      </c>
      <c r="C112" s="39">
        <v>48</v>
      </c>
      <c r="D112" s="38" t="str">
        <f>INDEX(DS_GIAOVIEN!B:B,MATCH(B112,DS_GIAOVIEN!B:B,0),1)</f>
        <v>La Văn Nam</v>
      </c>
    </row>
    <row r="113" spans="1:4" x14ac:dyDescent="0.25">
      <c r="A113" s="21">
        <v>112</v>
      </c>
      <c r="B113" s="38" t="s">
        <v>165</v>
      </c>
      <c r="C113" s="39">
        <v>20</v>
      </c>
      <c r="D113" s="38" t="str">
        <f>INDEX(DS_GIAOVIEN!B:B,MATCH(B113,DS_GIAOVIEN!B:B,0),1)</f>
        <v>Nghiêm Thị Phượng</v>
      </c>
    </row>
    <row r="114" spans="1:4" x14ac:dyDescent="0.25">
      <c r="A114" s="21">
        <v>113</v>
      </c>
      <c r="B114" s="38" t="s">
        <v>66</v>
      </c>
      <c r="C114" s="39">
        <v>12</v>
      </c>
      <c r="D114" s="38" t="str">
        <f>INDEX(DS_GIAOVIEN!B:B,MATCH(B114,DS_GIAOVIEN!B:B,0),1)</f>
        <v>Nguyễn Anh Duy</v>
      </c>
    </row>
    <row r="115" spans="1:4" x14ac:dyDescent="0.25">
      <c r="A115" s="21">
        <v>114</v>
      </c>
      <c r="B115" s="38" t="s">
        <v>74</v>
      </c>
      <c r="C115" s="39">
        <v>20</v>
      </c>
      <c r="D115" s="38" t="str">
        <f>INDEX(DS_GIAOVIEN!B:B,MATCH(B115,DS_GIAOVIEN!B:B,0),1)</f>
        <v>Nguyễn Anh Vinh</v>
      </c>
    </row>
    <row r="116" spans="1:4" x14ac:dyDescent="0.25">
      <c r="A116" s="21">
        <v>115</v>
      </c>
      <c r="B116" s="38" t="s">
        <v>53</v>
      </c>
      <c r="C116" s="39">
        <v>32</v>
      </c>
      <c r="D116" s="38" t="str">
        <f>INDEX(DS_GIAOVIEN!B:B,MATCH(B116,DS_GIAOVIEN!B:B,0),1)</f>
        <v>Nguyễn Thị Hải</v>
      </c>
    </row>
    <row r="117" spans="1:4" x14ac:dyDescent="0.25">
      <c r="A117" s="21">
        <v>116</v>
      </c>
      <c r="B117" s="38" t="s">
        <v>57</v>
      </c>
      <c r="C117" s="39">
        <v>36</v>
      </c>
      <c r="D117" s="38" t="str">
        <f>INDEX(DS_GIAOVIEN!B:B,MATCH(B117,DS_GIAOVIEN!B:B,0),1)</f>
        <v>Nguyễn Văn Chính</v>
      </c>
    </row>
    <row r="118" spans="1:4" x14ac:dyDescent="0.25">
      <c r="A118" s="21">
        <v>117</v>
      </c>
      <c r="B118" s="38" t="s">
        <v>55</v>
      </c>
      <c r="C118" s="39">
        <v>16</v>
      </c>
      <c r="D118" s="38" t="str">
        <f>INDEX(DS_GIAOVIEN!B:B,MATCH(B118,DS_GIAOVIEN!B:B,0),1)</f>
        <v>Nguyễn Văn Công</v>
      </c>
    </row>
    <row r="119" spans="1:4" x14ac:dyDescent="0.25">
      <c r="A119" s="21">
        <v>118</v>
      </c>
      <c r="B119" s="38" t="s">
        <v>51</v>
      </c>
      <c r="C119" s="39">
        <v>12</v>
      </c>
      <c r="D119" s="38" t="str">
        <f>INDEX(DS_GIAOVIEN!B:B,MATCH(B119,DS_GIAOVIEN!B:B,0),1)</f>
        <v>Nguyễn Viết Nông</v>
      </c>
    </row>
    <row r="120" spans="1:4" x14ac:dyDescent="0.25">
      <c r="A120" s="21">
        <v>119</v>
      </c>
      <c r="B120" s="38" t="s">
        <v>56</v>
      </c>
      <c r="C120" s="39">
        <v>20</v>
      </c>
      <c r="D120" s="38" t="str">
        <f>INDEX(DS_GIAOVIEN!B:B,MATCH(B120,DS_GIAOVIEN!B:B,0),1)</f>
        <v>Nguyễn Xuân Nguyên</v>
      </c>
    </row>
    <row r="121" spans="1:4" x14ac:dyDescent="0.25">
      <c r="A121" s="21">
        <v>120</v>
      </c>
      <c r="B121" s="38" t="s">
        <v>35</v>
      </c>
      <c r="C121" s="39">
        <v>40</v>
      </c>
      <c r="D121" s="38" t="str">
        <f>INDEX(DS_GIAOVIEN!B:B,MATCH(B121,DS_GIAOVIEN!B:B,0),1)</f>
        <v>Phạm Quốc Lập</v>
      </c>
    </row>
    <row r="122" spans="1:4" x14ac:dyDescent="0.25">
      <c r="A122" s="21">
        <v>121</v>
      </c>
      <c r="B122" s="38" t="s">
        <v>99</v>
      </c>
      <c r="C122" s="39">
        <v>28</v>
      </c>
      <c r="D122" s="38" t="str">
        <f>INDEX(DS_GIAOVIEN!B:B,MATCH(B122,DS_GIAOVIEN!B:B,0),1)</f>
        <v>Phạm Văn Nguyên</v>
      </c>
    </row>
    <row r="123" spans="1:4" x14ac:dyDescent="0.25">
      <c r="A123" s="21">
        <v>122</v>
      </c>
      <c r="B123" s="38" t="s">
        <v>58</v>
      </c>
      <c r="C123" s="39">
        <v>56</v>
      </c>
      <c r="D123" s="38" t="str">
        <f>INDEX(DS_GIAOVIEN!B:B,MATCH(B123,DS_GIAOVIEN!B:B,0),1)</f>
        <v>Phạm Xuân Vinh</v>
      </c>
    </row>
    <row r="124" spans="1:4" x14ac:dyDescent="0.25">
      <c r="A124" s="21">
        <v>123</v>
      </c>
      <c r="B124" s="38" t="s">
        <v>52</v>
      </c>
      <c r="C124" s="39">
        <v>64</v>
      </c>
      <c r="D124" s="38" t="str">
        <f>INDEX(DS_GIAOVIEN!B:B,MATCH(B124,DS_GIAOVIEN!B:B,0),1)</f>
        <v>Phan Tấn Đạt</v>
      </c>
    </row>
    <row r="125" spans="1:4" x14ac:dyDescent="0.25">
      <c r="A125" s="21">
        <v>124</v>
      </c>
      <c r="B125" s="38" t="s">
        <v>100</v>
      </c>
      <c r="C125" s="39">
        <v>32</v>
      </c>
      <c r="D125" s="38" t="str">
        <f>INDEX(DS_GIAOVIEN!B:B,MATCH(B125,DS_GIAOVIEN!B:B,0),1)</f>
        <v>Trần Ngọc Sơn Hùng</v>
      </c>
    </row>
    <row r="126" spans="1:4" x14ac:dyDescent="0.25">
      <c r="A126" s="21">
        <v>125</v>
      </c>
      <c r="B126" s="38" t="s">
        <v>43</v>
      </c>
      <c r="C126" s="39">
        <v>56</v>
      </c>
      <c r="D126" s="38" t="str">
        <f>INDEX(DS_GIAOVIEN!B:B,MATCH(B126,DS_GIAOVIEN!B:B,0),1)</f>
        <v>Trần Văn Nhàn</v>
      </c>
    </row>
    <row r="127" spans="1:4" x14ac:dyDescent="0.25">
      <c r="A127" s="21">
        <v>126</v>
      </c>
      <c r="B127" s="38" t="s">
        <v>118</v>
      </c>
      <c r="C127" s="39">
        <v>52</v>
      </c>
      <c r="D127" s="38" t="str">
        <f>INDEX(DS_GIAOVIEN!B:B,MATCH(B127,DS_GIAOVIEN!B:B,0),1)</f>
        <v>Trương Võ Thành</v>
      </c>
    </row>
    <row r="128" spans="1:4" x14ac:dyDescent="0.25">
      <c r="A128" s="21">
        <v>127</v>
      </c>
      <c r="B128" s="38" t="s">
        <v>65</v>
      </c>
      <c r="C128" s="39">
        <v>40</v>
      </c>
      <c r="D128" s="38" t="str">
        <f>INDEX(DS_GIAOVIEN!B:B,MATCH(B128,DS_GIAOVIEN!B:B,0),1)</f>
        <v>Võ Thị Cẩm Thơ</v>
      </c>
    </row>
    <row r="129" spans="1:4" x14ac:dyDescent="0.25">
      <c r="A129" s="21">
        <v>128</v>
      </c>
      <c r="B129" s="38" t="s">
        <v>42</v>
      </c>
      <c r="C129" s="39">
        <v>20</v>
      </c>
      <c r="D129" s="38" t="str">
        <f>INDEX(DS_GIAOVIEN!B:B,MATCH(B129,DS_GIAOVIEN!B:B,0),1)</f>
        <v>Lê Thị Minh Thùy</v>
      </c>
    </row>
    <row r="130" spans="1:4" x14ac:dyDescent="0.25">
      <c r="A130" s="21">
        <v>129</v>
      </c>
      <c r="B130" s="38" t="s">
        <v>3</v>
      </c>
      <c r="C130" s="39">
        <v>6</v>
      </c>
      <c r="D130" s="38" t="str">
        <f>INDEX(DS_GIAOVIEN!B:B,MATCH(B130,DS_GIAOVIEN!B:B,0),1)</f>
        <v>Hồ Viết Thắng</v>
      </c>
    </row>
    <row r="131" spans="1:4" x14ac:dyDescent="0.25">
      <c r="A131" s="21">
        <v>130</v>
      </c>
      <c r="B131" s="38" t="s">
        <v>140</v>
      </c>
      <c r="C131" s="39">
        <v>5</v>
      </c>
      <c r="D131" s="38" t="str">
        <f>INDEX(DS_GIAOVIEN!B:B,MATCH(B131,DS_GIAOVIEN!B:B,0),1)</f>
        <v>Mai Hồng Song</v>
      </c>
    </row>
    <row r="132" spans="1:4" x14ac:dyDescent="0.25">
      <c r="A132" s="21">
        <v>131</v>
      </c>
      <c r="B132" s="38" t="s">
        <v>59</v>
      </c>
      <c r="C132" s="39">
        <v>5</v>
      </c>
      <c r="D132" s="38" t="str">
        <f>INDEX(DS_GIAOVIEN!B:B,MATCH(B132,DS_GIAOVIEN!B:B,0),1)</f>
        <v>Nguyễn Văn Độ</v>
      </c>
    </row>
    <row r="133" spans="1:4" x14ac:dyDescent="0.25">
      <c r="A133" s="21">
        <v>132</v>
      </c>
      <c r="B133" s="38" t="s">
        <v>60</v>
      </c>
      <c r="C133" s="39">
        <v>10</v>
      </c>
      <c r="D133" s="38" t="str">
        <f>INDEX(DS_GIAOVIEN!B:B,MATCH(B133,DS_GIAOVIEN!B:B,0),1)</f>
        <v>Đỗ Thị Kiều Vân</v>
      </c>
    </row>
    <row r="134" spans="1:4" x14ac:dyDescent="0.25">
      <c r="A134" s="21">
        <v>133</v>
      </c>
      <c r="B134" s="38" t="s">
        <v>2</v>
      </c>
      <c r="C134" s="39">
        <v>10</v>
      </c>
      <c r="D134" s="38" t="str">
        <f>INDEX(DS_GIAOVIEN!B:B,MATCH(B134,DS_GIAOVIEN!B:B,0),1)</f>
        <v>Đinh Trọng Hiếu</v>
      </c>
    </row>
    <row r="135" spans="1:4" x14ac:dyDescent="0.25">
      <c r="A135" s="21">
        <v>134</v>
      </c>
      <c r="B135" s="38" t="s">
        <v>133</v>
      </c>
      <c r="C135" s="39">
        <v>8</v>
      </c>
      <c r="D135" s="38" t="str">
        <f>INDEX(DS_GIAOVIEN!B:B,MATCH(B135,DS_GIAOVIEN!B:B,0),1)</f>
        <v>Nguyễn Quốc Tuấn</v>
      </c>
    </row>
    <row r="136" spans="1:4" x14ac:dyDescent="0.25">
      <c r="A136" s="21">
        <v>135</v>
      </c>
      <c r="B136" s="38" t="s">
        <v>134</v>
      </c>
      <c r="C136" s="39">
        <v>8</v>
      </c>
      <c r="D136" s="38" t="str">
        <f>INDEX(DS_GIAOVIEN!B:B,MATCH(B136,DS_GIAOVIEN!B:B,0),1)</f>
        <v>Nguyễn Mạnh Quế</v>
      </c>
    </row>
    <row r="137" spans="1:4" x14ac:dyDescent="0.25">
      <c r="A137" s="21">
        <v>136</v>
      </c>
      <c r="B137" s="38" t="s">
        <v>131</v>
      </c>
      <c r="C137" s="39">
        <v>8</v>
      </c>
      <c r="D137" s="38" t="str">
        <f>INDEX(DS_GIAOVIEN!B:B,MATCH(B137,DS_GIAOVIEN!B:B,0),1)</f>
        <v>Nguyễn Thành Nguyên</v>
      </c>
    </row>
    <row r="138" spans="1:4" x14ac:dyDescent="0.25">
      <c r="A138" s="21">
        <v>137</v>
      </c>
      <c r="B138" s="38" t="s">
        <v>135</v>
      </c>
      <c r="C138" s="39">
        <v>4</v>
      </c>
      <c r="D138" s="38" t="str">
        <f>INDEX(DS_GIAOVIEN!B:B,MATCH(B138,DS_GIAOVIEN!B:B,0),1)</f>
        <v>Lưu Thiện Luật</v>
      </c>
    </row>
    <row r="139" spans="1:4" x14ac:dyDescent="0.25">
      <c r="A139" s="21">
        <v>138</v>
      </c>
      <c r="B139" s="38" t="s">
        <v>132</v>
      </c>
      <c r="C139" s="39">
        <v>4</v>
      </c>
      <c r="D139" s="38" t="str">
        <f>INDEX(DS_GIAOVIEN!B:B,MATCH(B139,DS_GIAOVIEN!B:B,0),1)</f>
        <v>Nguyễn Anh Thái</v>
      </c>
    </row>
    <row r="140" spans="1:4" x14ac:dyDescent="0.25">
      <c r="A140" s="21">
        <v>139</v>
      </c>
      <c r="B140" s="38" t="s">
        <v>137</v>
      </c>
      <c r="C140" s="39">
        <v>28</v>
      </c>
      <c r="D140" s="38" t="str">
        <f>INDEX(DS_GIAOVIEN!B:B,MATCH(B140,DS_GIAOVIEN!B:B,0),1)</f>
        <v>Huỳnh Ngọc Hoài Phương</v>
      </c>
    </row>
    <row r="141" spans="1:4" x14ac:dyDescent="0.25">
      <c r="A141" s="21">
        <v>140</v>
      </c>
      <c r="B141" s="38" t="s">
        <v>136</v>
      </c>
      <c r="C141" s="39">
        <v>36</v>
      </c>
      <c r="D141" s="38" t="str">
        <f>INDEX(DS_GIAOVIEN!B:B,MATCH(B141,DS_GIAOVIEN!B:B,0),1)</f>
        <v>Trần Thị Kim Dung</v>
      </c>
    </row>
    <row r="142" spans="1:4" x14ac:dyDescent="0.25">
      <c r="A142" s="21">
        <v>141</v>
      </c>
      <c r="B142" s="38" t="s">
        <v>125</v>
      </c>
      <c r="C142" s="39">
        <v>18</v>
      </c>
      <c r="D142" s="38" t="str">
        <f>INDEX(DS_GIAOVIEN!B:B,MATCH(B142,DS_GIAOVIEN!B:B,0),1)</f>
        <v>Trần Thị Cẩm Linh</v>
      </c>
    </row>
    <row r="143" spans="1:4" x14ac:dyDescent="0.25">
      <c r="A143" s="21">
        <v>142</v>
      </c>
      <c r="B143" s="38" t="s">
        <v>223</v>
      </c>
      <c r="C143" s="39">
        <v>26</v>
      </c>
      <c r="D143" s="38" t="str">
        <f>INDEX(DS_GIAOVIEN!B:B,MATCH(B143,DS_GIAOVIEN!B:B,0),1)</f>
        <v>Đỗ Thùy Dương</v>
      </c>
    </row>
    <row r="144" spans="1:4" x14ac:dyDescent="0.25">
      <c r="A144" s="21">
        <v>143</v>
      </c>
      <c r="B144" s="38" t="s">
        <v>126</v>
      </c>
      <c r="C144" s="39">
        <v>28.5</v>
      </c>
      <c r="D144" s="38" t="str">
        <f>INDEX(DS_GIAOVIEN!B:B,MATCH(B144,DS_GIAOVIEN!B:B,0),1)</f>
        <v>Huỳnh Thị Ngọc Ánh</v>
      </c>
    </row>
    <row r="145" spans="1:4" x14ac:dyDescent="0.25">
      <c r="A145" s="21">
        <v>144</v>
      </c>
      <c r="B145" s="38" t="s">
        <v>127</v>
      </c>
      <c r="C145" s="39">
        <v>10</v>
      </c>
      <c r="D145" s="38" t="str">
        <f>INDEX(DS_GIAOVIEN!B:B,MATCH(B145,DS_GIAOVIEN!B:B,0),1)</f>
        <v>Ngô Thị Minh Châu</v>
      </c>
    </row>
    <row r="146" spans="1:4" x14ac:dyDescent="0.25">
      <c r="A146" s="21">
        <v>145</v>
      </c>
      <c r="B146" s="38" t="s">
        <v>128</v>
      </c>
      <c r="C146" s="39">
        <v>27.5</v>
      </c>
      <c r="D146" s="38" t="str">
        <f>INDEX(DS_GIAOVIEN!B:B,MATCH(B146,DS_GIAOVIEN!B:B,0),1)</f>
        <v>Nguyễn Thị Luyên</v>
      </c>
    </row>
    <row r="147" spans="1:4" x14ac:dyDescent="0.25">
      <c r="A147" s="21">
        <v>146</v>
      </c>
      <c r="B147" s="38" t="s">
        <v>129</v>
      </c>
      <c r="C147" s="39">
        <v>14</v>
      </c>
      <c r="D147" s="38" t="str">
        <f>INDEX(DS_GIAOVIEN!B:B,MATCH(B147,DS_GIAOVIEN!B:B,0),1)</f>
        <v>Nguyễn Thị Mai Lan</v>
      </c>
    </row>
    <row r="148" spans="1:4" x14ac:dyDescent="0.25">
      <c r="A148" s="21">
        <v>147</v>
      </c>
      <c r="B148" s="38" t="s">
        <v>130</v>
      </c>
      <c r="C148" s="39">
        <v>6</v>
      </c>
      <c r="D148" s="38" t="str">
        <f>INDEX(DS_GIAOVIEN!B:B,MATCH(B148,DS_GIAOVIEN!B:B,0),1)</f>
        <v>Y Wel Ênuôl</v>
      </c>
    </row>
    <row r="149" spans="1:4" x14ac:dyDescent="0.25">
      <c r="A149" s="21">
        <v>148</v>
      </c>
      <c r="B149" s="38" t="s">
        <v>138</v>
      </c>
      <c r="C149" s="39">
        <v>11</v>
      </c>
      <c r="D149" s="38" t="str">
        <f>INDEX(DS_GIAOVIEN!B:B,MATCH(B149,DS_GIAOVIEN!B:B,0),1)</f>
        <v>Nguyễn Thị Luyến</v>
      </c>
    </row>
    <row r="150" spans="1:4" x14ac:dyDescent="0.25">
      <c r="A150" s="21">
        <v>149</v>
      </c>
      <c r="B150" s="38" t="s">
        <v>139</v>
      </c>
      <c r="C150" s="39">
        <v>13</v>
      </c>
      <c r="D150" s="38" t="str">
        <f>INDEX(DS_GIAOVIEN!B:B,MATCH(B150,DS_GIAOVIEN!B:B,0),1)</f>
        <v>Nguyễn Thanh Tịnh</v>
      </c>
    </row>
    <row r="151" spans="1:4" x14ac:dyDescent="0.25">
      <c r="A151" s="21">
        <v>150</v>
      </c>
      <c r="B151" s="38" t="s">
        <v>61</v>
      </c>
      <c r="C151" s="39">
        <v>8</v>
      </c>
      <c r="D151" s="38" t="str">
        <f>INDEX(DS_GIAOVIEN!B:B,MATCH(B151,DS_GIAOVIEN!B:B,0),1)</f>
        <v>Nguyễn Thị Miền</v>
      </c>
    </row>
  </sheetData>
  <autoFilter ref="D1:D151" xr:uid="{15748D1A-6821-411C-AD37-F8F35C6FEA2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FEE5-0A26-42DB-8991-A47F5E784AE5}">
  <sheetPr filterMode="1"/>
  <dimension ref="A1:C993"/>
  <sheetViews>
    <sheetView workbookViewId="0">
      <selection activeCell="B186" sqref="B186"/>
    </sheetView>
  </sheetViews>
  <sheetFormatPr defaultRowHeight="13.8" x14ac:dyDescent="0.25"/>
  <cols>
    <col min="2" max="2" width="40.3984375" customWidth="1"/>
    <col min="3" max="3" width="17.09765625" customWidth="1"/>
  </cols>
  <sheetData>
    <row r="1" spans="1:3" x14ac:dyDescent="0.25">
      <c r="A1" s="23" t="s">
        <v>173</v>
      </c>
      <c r="B1" s="18" t="s">
        <v>1</v>
      </c>
      <c r="C1" s="23" t="s">
        <v>174</v>
      </c>
    </row>
    <row r="2" spans="1:3" hidden="1" x14ac:dyDescent="0.25">
      <c r="A2" s="24" t="s">
        <v>175</v>
      </c>
      <c r="B2" s="25" t="s">
        <v>176</v>
      </c>
      <c r="C2" s="26" t="s">
        <v>177</v>
      </c>
    </row>
    <row r="3" spans="1:3" hidden="1" x14ac:dyDescent="0.25">
      <c r="A3" s="26">
        <v>1002</v>
      </c>
      <c r="B3" s="25" t="s">
        <v>178</v>
      </c>
      <c r="C3" s="26" t="s">
        <v>179</v>
      </c>
    </row>
    <row r="4" spans="1:3" hidden="1" x14ac:dyDescent="0.25">
      <c r="A4" s="26">
        <v>1003</v>
      </c>
      <c r="B4" s="25" t="s">
        <v>180</v>
      </c>
      <c r="C4" s="26" t="s">
        <v>179</v>
      </c>
    </row>
    <row r="5" spans="1:3" hidden="1" x14ac:dyDescent="0.25">
      <c r="A5" s="26">
        <v>1004</v>
      </c>
      <c r="B5" s="25" t="s">
        <v>181</v>
      </c>
      <c r="C5" s="26" t="s">
        <v>182</v>
      </c>
    </row>
    <row r="6" spans="1:3" hidden="1" x14ac:dyDescent="0.25">
      <c r="A6" s="26">
        <v>1005</v>
      </c>
      <c r="B6" s="25" t="s">
        <v>183</v>
      </c>
      <c r="C6" s="26" t="s">
        <v>182</v>
      </c>
    </row>
    <row r="7" spans="1:3" hidden="1" x14ac:dyDescent="0.25">
      <c r="A7" s="26">
        <v>1006</v>
      </c>
      <c r="B7" s="25" t="s">
        <v>184</v>
      </c>
      <c r="C7" s="26" t="s">
        <v>182</v>
      </c>
    </row>
    <row r="8" spans="1:3" hidden="1" x14ac:dyDescent="0.25">
      <c r="A8" s="26">
        <v>1007</v>
      </c>
      <c r="B8" s="25" t="s">
        <v>185</v>
      </c>
      <c r="C8" s="26" t="s">
        <v>182</v>
      </c>
    </row>
    <row r="9" spans="1:3" hidden="1" x14ac:dyDescent="0.25">
      <c r="A9" s="26">
        <v>1008</v>
      </c>
      <c r="B9" s="25" t="s">
        <v>186</v>
      </c>
      <c r="C9" s="26" t="s">
        <v>182</v>
      </c>
    </row>
    <row r="10" spans="1:3" hidden="1" x14ac:dyDescent="0.25">
      <c r="A10" s="26">
        <v>1009</v>
      </c>
      <c r="B10" s="25" t="s">
        <v>143</v>
      </c>
      <c r="C10" s="26" t="s">
        <v>182</v>
      </c>
    </row>
    <row r="11" spans="1:3" hidden="1" x14ac:dyDescent="0.25">
      <c r="A11" s="26">
        <v>1010</v>
      </c>
      <c r="B11" s="25" t="s">
        <v>187</v>
      </c>
      <c r="C11" s="26" t="s">
        <v>182</v>
      </c>
    </row>
    <row r="12" spans="1:3" hidden="1" x14ac:dyDescent="0.25">
      <c r="A12" s="26">
        <v>1011</v>
      </c>
      <c r="B12" s="25" t="s">
        <v>188</v>
      </c>
      <c r="C12" s="26" t="s">
        <v>182</v>
      </c>
    </row>
    <row r="13" spans="1:3" hidden="1" x14ac:dyDescent="0.25">
      <c r="A13" s="26">
        <v>1012</v>
      </c>
      <c r="B13" s="25" t="s">
        <v>189</v>
      </c>
      <c r="C13" s="26" t="s">
        <v>182</v>
      </c>
    </row>
    <row r="14" spans="1:3" hidden="1" x14ac:dyDescent="0.25">
      <c r="A14" s="26">
        <v>1013</v>
      </c>
      <c r="B14" s="25" t="s">
        <v>190</v>
      </c>
      <c r="C14" s="26" t="s">
        <v>182</v>
      </c>
    </row>
    <row r="15" spans="1:3" hidden="1" x14ac:dyDescent="0.25">
      <c r="A15" s="26">
        <v>1014</v>
      </c>
      <c r="B15" s="25" t="s">
        <v>191</v>
      </c>
      <c r="C15" s="26" t="s">
        <v>182</v>
      </c>
    </row>
    <row r="16" spans="1:3" hidden="1" x14ac:dyDescent="0.25">
      <c r="A16" s="26">
        <v>1015</v>
      </c>
      <c r="B16" s="25" t="s">
        <v>192</v>
      </c>
      <c r="C16" s="26" t="s">
        <v>182</v>
      </c>
    </row>
    <row r="17" spans="1:3" hidden="1" x14ac:dyDescent="0.25">
      <c r="A17" s="26">
        <v>1016</v>
      </c>
      <c r="B17" s="25" t="s">
        <v>193</v>
      </c>
      <c r="C17" s="26" t="s">
        <v>182</v>
      </c>
    </row>
    <row r="18" spans="1:3" hidden="1" x14ac:dyDescent="0.25">
      <c r="A18" s="26">
        <v>1017</v>
      </c>
      <c r="B18" s="25" t="s">
        <v>194</v>
      </c>
      <c r="C18" s="26" t="s">
        <v>182</v>
      </c>
    </row>
    <row r="19" spans="1:3" hidden="1" x14ac:dyDescent="0.25">
      <c r="A19" s="26">
        <v>1018</v>
      </c>
      <c r="B19" s="25" t="s">
        <v>195</v>
      </c>
      <c r="C19" s="26" t="s">
        <v>182</v>
      </c>
    </row>
    <row r="20" spans="1:3" hidden="1" x14ac:dyDescent="0.25">
      <c r="A20" s="26">
        <v>1019</v>
      </c>
      <c r="B20" s="25" t="s">
        <v>196</v>
      </c>
      <c r="C20" s="26" t="s">
        <v>182</v>
      </c>
    </row>
    <row r="21" spans="1:3" hidden="1" x14ac:dyDescent="0.25">
      <c r="A21" s="26">
        <v>1020</v>
      </c>
      <c r="B21" s="25" t="s">
        <v>197</v>
      </c>
      <c r="C21" s="26" t="s">
        <v>182</v>
      </c>
    </row>
    <row r="22" spans="1:3" hidden="1" x14ac:dyDescent="0.25">
      <c r="A22" s="26">
        <v>1021</v>
      </c>
      <c r="B22" s="25" t="s">
        <v>142</v>
      </c>
      <c r="C22" s="26" t="s">
        <v>182</v>
      </c>
    </row>
    <row r="23" spans="1:3" hidden="1" x14ac:dyDescent="0.25">
      <c r="A23" s="26">
        <v>1022</v>
      </c>
      <c r="B23" s="25" t="s">
        <v>198</v>
      </c>
      <c r="C23" s="26" t="s">
        <v>182</v>
      </c>
    </row>
    <row r="24" spans="1:3" hidden="1" x14ac:dyDescent="0.25">
      <c r="A24" s="26">
        <v>1023</v>
      </c>
      <c r="B24" s="25" t="s">
        <v>199</v>
      </c>
      <c r="C24" s="26" t="s">
        <v>182</v>
      </c>
    </row>
    <row r="25" spans="1:3" hidden="1" x14ac:dyDescent="0.25">
      <c r="A25" s="26">
        <v>1024</v>
      </c>
      <c r="B25" s="25" t="s">
        <v>200</v>
      </c>
      <c r="C25" s="26" t="s">
        <v>182</v>
      </c>
    </row>
    <row r="26" spans="1:3" hidden="1" x14ac:dyDescent="0.25">
      <c r="A26" s="26">
        <v>1025</v>
      </c>
      <c r="B26" s="25" t="s">
        <v>201</v>
      </c>
      <c r="C26" s="26" t="s">
        <v>182</v>
      </c>
    </row>
    <row r="27" spans="1:3" hidden="1" x14ac:dyDescent="0.25">
      <c r="A27" s="26">
        <v>1026</v>
      </c>
      <c r="B27" s="25" t="s">
        <v>202</v>
      </c>
      <c r="C27" s="26" t="s">
        <v>182</v>
      </c>
    </row>
    <row r="28" spans="1:3" hidden="1" x14ac:dyDescent="0.25">
      <c r="A28" s="26">
        <v>1027</v>
      </c>
      <c r="B28" s="25" t="s">
        <v>203</v>
      </c>
      <c r="C28" s="26" t="s">
        <v>182</v>
      </c>
    </row>
    <row r="29" spans="1:3" hidden="1" x14ac:dyDescent="0.25">
      <c r="A29" s="26">
        <v>1028</v>
      </c>
      <c r="B29" s="25" t="s">
        <v>88</v>
      </c>
      <c r="C29" s="26" t="s">
        <v>182</v>
      </c>
    </row>
    <row r="30" spans="1:3" hidden="1" x14ac:dyDescent="0.25">
      <c r="A30" s="26">
        <v>1029</v>
      </c>
      <c r="B30" s="25" t="s">
        <v>204</v>
      </c>
      <c r="C30" s="26" t="s">
        <v>182</v>
      </c>
    </row>
    <row r="31" spans="1:3" hidden="1" x14ac:dyDescent="0.25">
      <c r="A31" s="26">
        <v>1030</v>
      </c>
      <c r="B31" s="25" t="s">
        <v>205</v>
      </c>
      <c r="C31" s="26" t="s">
        <v>182</v>
      </c>
    </row>
    <row r="32" spans="1:3" hidden="1" x14ac:dyDescent="0.25">
      <c r="A32" s="26">
        <v>1031</v>
      </c>
      <c r="B32" s="25" t="s">
        <v>206</v>
      </c>
      <c r="C32" s="26" t="s">
        <v>182</v>
      </c>
    </row>
    <row r="33" spans="1:3" hidden="1" x14ac:dyDescent="0.25">
      <c r="A33" s="26">
        <v>1032</v>
      </c>
      <c r="B33" s="25" t="s">
        <v>207</v>
      </c>
      <c r="C33" s="26" t="s">
        <v>182</v>
      </c>
    </row>
    <row r="34" spans="1:3" hidden="1" x14ac:dyDescent="0.25">
      <c r="A34" s="26">
        <v>1033</v>
      </c>
      <c r="B34" s="25" t="s">
        <v>208</v>
      </c>
      <c r="C34" s="26" t="s">
        <v>182</v>
      </c>
    </row>
    <row r="35" spans="1:3" hidden="1" x14ac:dyDescent="0.25">
      <c r="A35" s="26">
        <v>1034</v>
      </c>
      <c r="B35" s="25" t="s">
        <v>209</v>
      </c>
      <c r="C35" s="26" t="s">
        <v>210</v>
      </c>
    </row>
    <row r="36" spans="1:3" hidden="1" x14ac:dyDescent="0.25">
      <c r="A36" s="26">
        <v>2001</v>
      </c>
      <c r="B36" s="25" t="s">
        <v>81</v>
      </c>
      <c r="C36" s="26" t="s">
        <v>177</v>
      </c>
    </row>
    <row r="37" spans="1:3" hidden="1" x14ac:dyDescent="0.25">
      <c r="A37" s="26">
        <v>2002</v>
      </c>
      <c r="B37" s="25" t="s">
        <v>152</v>
      </c>
      <c r="C37" s="26" t="s">
        <v>179</v>
      </c>
    </row>
    <row r="38" spans="1:3" hidden="1" x14ac:dyDescent="0.25">
      <c r="A38" s="26">
        <v>2003</v>
      </c>
      <c r="B38" s="25" t="s">
        <v>64</v>
      </c>
      <c r="C38" s="26" t="s">
        <v>179</v>
      </c>
    </row>
    <row r="39" spans="1:3" hidden="1" x14ac:dyDescent="0.25">
      <c r="A39" s="26">
        <v>2004</v>
      </c>
      <c r="B39" s="25" t="s">
        <v>41</v>
      </c>
      <c r="C39" s="26" t="s">
        <v>182</v>
      </c>
    </row>
    <row r="40" spans="1:3" hidden="1" x14ac:dyDescent="0.25">
      <c r="A40" s="26">
        <v>2005</v>
      </c>
      <c r="B40" s="25" t="s">
        <v>122</v>
      </c>
      <c r="C40" s="26" t="s">
        <v>182</v>
      </c>
    </row>
    <row r="41" spans="1:3" hidden="1" x14ac:dyDescent="0.25">
      <c r="A41" s="26">
        <v>2006</v>
      </c>
      <c r="B41" s="25" t="s">
        <v>12</v>
      </c>
      <c r="C41" s="26" t="s">
        <v>182</v>
      </c>
    </row>
    <row r="42" spans="1:3" hidden="1" x14ac:dyDescent="0.25">
      <c r="A42" s="26">
        <v>2007</v>
      </c>
      <c r="B42" s="25" t="s">
        <v>120</v>
      </c>
      <c r="C42" s="26" t="s">
        <v>182</v>
      </c>
    </row>
    <row r="43" spans="1:3" hidden="1" x14ac:dyDescent="0.25">
      <c r="A43" s="26">
        <v>2008</v>
      </c>
      <c r="B43" s="25" t="s">
        <v>11</v>
      </c>
      <c r="C43" s="26" t="s">
        <v>182</v>
      </c>
    </row>
    <row r="44" spans="1:3" hidden="1" x14ac:dyDescent="0.25">
      <c r="A44" s="26">
        <v>2009</v>
      </c>
      <c r="B44" s="25" t="s">
        <v>154</v>
      </c>
      <c r="C44" s="26" t="s">
        <v>182</v>
      </c>
    </row>
    <row r="45" spans="1:3" hidden="1" x14ac:dyDescent="0.25">
      <c r="A45" s="26">
        <v>2010</v>
      </c>
      <c r="B45" s="25" t="s">
        <v>17</v>
      </c>
      <c r="C45" s="26" t="s">
        <v>182</v>
      </c>
    </row>
    <row r="46" spans="1:3" hidden="1" x14ac:dyDescent="0.25">
      <c r="A46" s="26">
        <v>2011</v>
      </c>
      <c r="B46" s="25" t="s">
        <v>156</v>
      </c>
      <c r="C46" s="26" t="s">
        <v>182</v>
      </c>
    </row>
    <row r="47" spans="1:3" hidden="1" x14ac:dyDescent="0.25">
      <c r="A47" s="26">
        <v>2012</v>
      </c>
      <c r="B47" s="25" t="s">
        <v>123</v>
      </c>
      <c r="C47" s="26" t="s">
        <v>182</v>
      </c>
    </row>
    <row r="48" spans="1:3" hidden="1" x14ac:dyDescent="0.25">
      <c r="A48" s="26">
        <v>2013</v>
      </c>
      <c r="B48" s="25" t="s">
        <v>4</v>
      </c>
      <c r="C48" s="26" t="s">
        <v>182</v>
      </c>
    </row>
    <row r="49" spans="1:3" hidden="1" x14ac:dyDescent="0.25">
      <c r="A49" s="26">
        <v>2014</v>
      </c>
      <c r="B49" s="25" t="s">
        <v>211</v>
      </c>
      <c r="C49" s="26" t="s">
        <v>182</v>
      </c>
    </row>
    <row r="50" spans="1:3" hidden="1" x14ac:dyDescent="0.25">
      <c r="A50" s="26">
        <v>2015</v>
      </c>
      <c r="B50" s="25" t="s">
        <v>73</v>
      </c>
      <c r="C50" s="26" t="s">
        <v>182</v>
      </c>
    </row>
    <row r="51" spans="1:3" hidden="1" x14ac:dyDescent="0.25">
      <c r="A51" s="26">
        <v>2016</v>
      </c>
      <c r="B51" s="25" t="s">
        <v>155</v>
      </c>
      <c r="C51" s="26" t="s">
        <v>182</v>
      </c>
    </row>
    <row r="52" spans="1:3" hidden="1" x14ac:dyDescent="0.25">
      <c r="A52" s="26">
        <v>2017</v>
      </c>
      <c r="B52" s="25" t="s">
        <v>5</v>
      </c>
      <c r="C52" s="26" t="s">
        <v>182</v>
      </c>
    </row>
    <row r="53" spans="1:3" hidden="1" x14ac:dyDescent="0.25">
      <c r="A53" s="26">
        <v>2018</v>
      </c>
      <c r="B53" s="25" t="s">
        <v>18</v>
      </c>
      <c r="C53" s="26" t="s">
        <v>182</v>
      </c>
    </row>
    <row r="54" spans="1:3" hidden="1" x14ac:dyDescent="0.25">
      <c r="A54" s="26">
        <v>2019</v>
      </c>
      <c r="B54" s="25" t="s">
        <v>121</v>
      </c>
      <c r="C54" s="26" t="s">
        <v>182</v>
      </c>
    </row>
    <row r="55" spans="1:3" hidden="1" x14ac:dyDescent="0.25">
      <c r="A55" s="26">
        <v>2020</v>
      </c>
      <c r="B55" s="25" t="s">
        <v>68</v>
      </c>
      <c r="C55" s="26" t="s">
        <v>182</v>
      </c>
    </row>
    <row r="56" spans="1:3" hidden="1" x14ac:dyDescent="0.25">
      <c r="A56" s="26">
        <v>2021</v>
      </c>
      <c r="B56" s="25" t="s">
        <v>69</v>
      </c>
      <c r="C56" s="26" t="s">
        <v>182</v>
      </c>
    </row>
    <row r="57" spans="1:3" hidden="1" x14ac:dyDescent="0.25">
      <c r="A57" s="26">
        <v>2022</v>
      </c>
      <c r="B57" s="25" t="s">
        <v>153</v>
      </c>
      <c r="C57" s="26" t="s">
        <v>182</v>
      </c>
    </row>
    <row r="58" spans="1:3" hidden="1" x14ac:dyDescent="0.25">
      <c r="A58" s="26">
        <v>2023</v>
      </c>
      <c r="B58" s="25" t="s">
        <v>212</v>
      </c>
      <c r="C58" s="26" t="s">
        <v>182</v>
      </c>
    </row>
    <row r="59" spans="1:3" hidden="1" x14ac:dyDescent="0.25">
      <c r="A59" s="26">
        <v>2024</v>
      </c>
      <c r="B59" s="25" t="s">
        <v>213</v>
      </c>
      <c r="C59" s="26" t="s">
        <v>210</v>
      </c>
    </row>
    <row r="60" spans="1:3" hidden="1" x14ac:dyDescent="0.25">
      <c r="A60" s="26">
        <v>2025</v>
      </c>
      <c r="B60" s="25" t="s">
        <v>214</v>
      </c>
      <c r="C60" s="26" t="s">
        <v>210</v>
      </c>
    </row>
    <row r="61" spans="1:3" hidden="1" x14ac:dyDescent="0.25">
      <c r="A61" s="26">
        <v>3001</v>
      </c>
      <c r="B61" s="25" t="s">
        <v>148</v>
      </c>
      <c r="C61" s="26" t="s">
        <v>177</v>
      </c>
    </row>
    <row r="62" spans="1:3" hidden="1" x14ac:dyDescent="0.25">
      <c r="A62" s="26">
        <v>3002</v>
      </c>
      <c r="B62" s="25" t="s">
        <v>39</v>
      </c>
      <c r="C62" s="26" t="s">
        <v>179</v>
      </c>
    </row>
    <row r="63" spans="1:3" hidden="1" x14ac:dyDescent="0.25">
      <c r="A63" s="26">
        <v>3003</v>
      </c>
      <c r="B63" s="25" t="s">
        <v>149</v>
      </c>
      <c r="C63" s="26" t="s">
        <v>182</v>
      </c>
    </row>
    <row r="64" spans="1:3" hidden="1" x14ac:dyDescent="0.25">
      <c r="A64" s="26">
        <v>3004</v>
      </c>
      <c r="B64" s="25" t="s">
        <v>76</v>
      </c>
      <c r="C64" s="26" t="s">
        <v>182</v>
      </c>
    </row>
    <row r="65" spans="1:3" hidden="1" x14ac:dyDescent="0.25">
      <c r="A65" s="26">
        <v>3005</v>
      </c>
      <c r="B65" s="25" t="s">
        <v>47</v>
      </c>
      <c r="C65" s="26" t="s">
        <v>182</v>
      </c>
    </row>
    <row r="66" spans="1:3" hidden="1" x14ac:dyDescent="0.25">
      <c r="A66" s="26">
        <v>3006</v>
      </c>
      <c r="B66" s="25" t="s">
        <v>77</v>
      </c>
      <c r="C66" s="26" t="s">
        <v>182</v>
      </c>
    </row>
    <row r="67" spans="1:3" hidden="1" x14ac:dyDescent="0.25">
      <c r="A67" s="26">
        <v>3007</v>
      </c>
      <c r="B67" s="25" t="s">
        <v>72</v>
      </c>
      <c r="C67" s="26" t="s">
        <v>182</v>
      </c>
    </row>
    <row r="68" spans="1:3" hidden="1" x14ac:dyDescent="0.25">
      <c r="A68" s="26">
        <v>3008</v>
      </c>
      <c r="B68" s="25" t="s">
        <v>49</v>
      </c>
      <c r="C68" s="26" t="s">
        <v>182</v>
      </c>
    </row>
    <row r="69" spans="1:3" hidden="1" x14ac:dyDescent="0.25">
      <c r="A69" s="26">
        <v>3009</v>
      </c>
      <c r="B69" s="25" t="s">
        <v>15</v>
      </c>
      <c r="C69" s="26" t="s">
        <v>182</v>
      </c>
    </row>
    <row r="70" spans="1:3" hidden="1" x14ac:dyDescent="0.25">
      <c r="A70" s="26">
        <v>3010</v>
      </c>
      <c r="B70" s="25" t="s">
        <v>16</v>
      </c>
      <c r="C70" s="26" t="s">
        <v>182</v>
      </c>
    </row>
    <row r="71" spans="1:3" hidden="1" x14ac:dyDescent="0.25">
      <c r="A71" s="26">
        <v>3011</v>
      </c>
      <c r="B71" s="25" t="s">
        <v>6</v>
      </c>
      <c r="C71" s="26" t="s">
        <v>182</v>
      </c>
    </row>
    <row r="72" spans="1:3" hidden="1" x14ac:dyDescent="0.25">
      <c r="A72" s="26">
        <v>3012</v>
      </c>
      <c r="B72" s="25" t="s">
        <v>48</v>
      </c>
      <c r="C72" s="26" t="s">
        <v>182</v>
      </c>
    </row>
    <row r="73" spans="1:3" hidden="1" x14ac:dyDescent="0.25">
      <c r="A73" s="26">
        <v>3013</v>
      </c>
      <c r="B73" s="25" t="s">
        <v>150</v>
      </c>
      <c r="C73" s="26" t="s">
        <v>182</v>
      </c>
    </row>
    <row r="74" spans="1:3" hidden="1" x14ac:dyDescent="0.25">
      <c r="A74" s="26">
        <v>3014</v>
      </c>
      <c r="B74" s="25" t="s">
        <v>33</v>
      </c>
      <c r="C74" s="26" t="s">
        <v>182</v>
      </c>
    </row>
    <row r="75" spans="1:3" hidden="1" x14ac:dyDescent="0.25">
      <c r="A75" s="26">
        <v>3015</v>
      </c>
      <c r="B75" s="25" t="s">
        <v>50</v>
      </c>
      <c r="C75" s="26" t="s">
        <v>182</v>
      </c>
    </row>
    <row r="76" spans="1:3" hidden="1" x14ac:dyDescent="0.25">
      <c r="A76" s="26">
        <v>3016</v>
      </c>
      <c r="B76" s="25" t="s">
        <v>70</v>
      </c>
      <c r="C76" s="26" t="s">
        <v>182</v>
      </c>
    </row>
    <row r="77" spans="1:3" hidden="1" x14ac:dyDescent="0.25">
      <c r="A77" s="26">
        <v>3017</v>
      </c>
      <c r="B77" s="25" t="s">
        <v>114</v>
      </c>
      <c r="C77" s="26" t="s">
        <v>182</v>
      </c>
    </row>
    <row r="78" spans="1:3" hidden="1" x14ac:dyDescent="0.25">
      <c r="A78" s="26">
        <v>3018</v>
      </c>
      <c r="B78" s="25" t="s">
        <v>115</v>
      </c>
      <c r="C78" s="26" t="s">
        <v>182</v>
      </c>
    </row>
    <row r="79" spans="1:3" hidden="1" x14ac:dyDescent="0.25">
      <c r="A79" s="26">
        <v>3019</v>
      </c>
      <c r="B79" s="25" t="s">
        <v>95</v>
      </c>
      <c r="C79" s="26" t="s">
        <v>182</v>
      </c>
    </row>
    <row r="80" spans="1:3" hidden="1" x14ac:dyDescent="0.25">
      <c r="A80" s="26">
        <v>4001</v>
      </c>
      <c r="B80" s="25" t="s">
        <v>82</v>
      </c>
      <c r="C80" s="26" t="s">
        <v>179</v>
      </c>
    </row>
    <row r="81" spans="1:3" hidden="1" x14ac:dyDescent="0.25">
      <c r="A81" s="26">
        <v>4002</v>
      </c>
      <c r="B81" s="25" t="s">
        <v>66</v>
      </c>
      <c r="C81" s="26" t="s">
        <v>182</v>
      </c>
    </row>
    <row r="82" spans="1:3" hidden="1" x14ac:dyDescent="0.25">
      <c r="A82" s="26">
        <v>4003</v>
      </c>
      <c r="B82" s="25" t="s">
        <v>58</v>
      </c>
      <c r="C82" s="26" t="s">
        <v>182</v>
      </c>
    </row>
    <row r="83" spans="1:3" hidden="1" x14ac:dyDescent="0.25">
      <c r="A83" s="26">
        <v>4004</v>
      </c>
      <c r="B83" s="25" t="s">
        <v>36</v>
      </c>
      <c r="C83" s="26" t="s">
        <v>182</v>
      </c>
    </row>
    <row r="84" spans="1:3" hidden="1" x14ac:dyDescent="0.25">
      <c r="A84" s="26">
        <v>4005</v>
      </c>
      <c r="B84" s="25" t="s">
        <v>51</v>
      </c>
      <c r="C84" s="26" t="s">
        <v>182</v>
      </c>
    </row>
    <row r="85" spans="1:3" hidden="1" x14ac:dyDescent="0.25">
      <c r="A85" s="26">
        <v>4006</v>
      </c>
      <c r="B85" s="25" t="s">
        <v>162</v>
      </c>
      <c r="C85" s="26" t="s">
        <v>182</v>
      </c>
    </row>
    <row r="86" spans="1:3" hidden="1" x14ac:dyDescent="0.25">
      <c r="A86" s="26">
        <v>4007</v>
      </c>
      <c r="B86" s="25" t="s">
        <v>163</v>
      </c>
      <c r="C86" s="26" t="s">
        <v>182</v>
      </c>
    </row>
    <row r="87" spans="1:3" hidden="1" x14ac:dyDescent="0.25">
      <c r="A87" s="26">
        <v>4008</v>
      </c>
      <c r="B87" s="25" t="s">
        <v>35</v>
      </c>
      <c r="C87" s="26" t="s">
        <v>182</v>
      </c>
    </row>
    <row r="88" spans="1:3" hidden="1" x14ac:dyDescent="0.25">
      <c r="A88" s="26">
        <v>4009</v>
      </c>
      <c r="B88" s="25" t="s">
        <v>71</v>
      </c>
      <c r="C88" s="26" t="s">
        <v>182</v>
      </c>
    </row>
    <row r="89" spans="1:3" hidden="1" x14ac:dyDescent="0.25">
      <c r="A89" s="26">
        <v>4010</v>
      </c>
      <c r="B89" s="25" t="s">
        <v>53</v>
      </c>
      <c r="C89" s="26" t="s">
        <v>182</v>
      </c>
    </row>
    <row r="90" spans="1:3" hidden="1" x14ac:dyDescent="0.25">
      <c r="A90" s="26">
        <v>4011</v>
      </c>
      <c r="B90" s="25" t="s">
        <v>38</v>
      </c>
      <c r="C90" s="26" t="s">
        <v>182</v>
      </c>
    </row>
    <row r="91" spans="1:3" hidden="1" x14ac:dyDescent="0.25">
      <c r="A91" s="26">
        <v>4012</v>
      </c>
      <c r="B91" s="25" t="s">
        <v>55</v>
      </c>
      <c r="C91" s="26" t="s">
        <v>182</v>
      </c>
    </row>
    <row r="92" spans="1:3" hidden="1" x14ac:dyDescent="0.25">
      <c r="A92" s="26">
        <v>4013</v>
      </c>
      <c r="B92" s="25" t="s">
        <v>164</v>
      </c>
      <c r="C92" s="26" t="s">
        <v>182</v>
      </c>
    </row>
    <row r="93" spans="1:3" hidden="1" x14ac:dyDescent="0.25">
      <c r="A93" s="26">
        <v>4014</v>
      </c>
      <c r="B93" s="25" t="s">
        <v>52</v>
      </c>
      <c r="C93" s="26" t="s">
        <v>182</v>
      </c>
    </row>
    <row r="94" spans="1:3" hidden="1" x14ac:dyDescent="0.25">
      <c r="A94" s="26">
        <v>4015</v>
      </c>
      <c r="B94" s="25" t="s">
        <v>43</v>
      </c>
      <c r="C94" s="26" t="s">
        <v>182</v>
      </c>
    </row>
    <row r="95" spans="1:3" hidden="1" x14ac:dyDescent="0.25">
      <c r="A95" s="26">
        <v>4016</v>
      </c>
      <c r="B95" s="25" t="s">
        <v>42</v>
      </c>
      <c r="C95" s="26" t="s">
        <v>182</v>
      </c>
    </row>
    <row r="96" spans="1:3" hidden="1" x14ac:dyDescent="0.25">
      <c r="A96" s="26">
        <v>4017</v>
      </c>
      <c r="B96" s="25" t="s">
        <v>54</v>
      </c>
      <c r="C96" s="26" t="s">
        <v>182</v>
      </c>
    </row>
    <row r="97" spans="1:3" hidden="1" x14ac:dyDescent="0.25">
      <c r="A97" s="26">
        <v>4018</v>
      </c>
      <c r="B97" s="25" t="s">
        <v>74</v>
      </c>
      <c r="C97" s="26" t="s">
        <v>182</v>
      </c>
    </row>
    <row r="98" spans="1:3" hidden="1" x14ac:dyDescent="0.25">
      <c r="A98" s="26">
        <v>4019</v>
      </c>
      <c r="B98" s="25" t="s">
        <v>165</v>
      </c>
      <c r="C98" s="26" t="s">
        <v>182</v>
      </c>
    </row>
    <row r="99" spans="1:3" hidden="1" x14ac:dyDescent="0.25">
      <c r="A99" s="26">
        <v>4020</v>
      </c>
      <c r="B99" s="25" t="s">
        <v>161</v>
      </c>
      <c r="C99" s="26" t="s">
        <v>182</v>
      </c>
    </row>
    <row r="100" spans="1:3" hidden="1" x14ac:dyDescent="0.25">
      <c r="A100" s="26">
        <v>4021</v>
      </c>
      <c r="B100" s="25" t="s">
        <v>65</v>
      </c>
      <c r="C100" s="26" t="s">
        <v>182</v>
      </c>
    </row>
    <row r="101" spans="1:3" hidden="1" x14ac:dyDescent="0.25">
      <c r="A101" s="26">
        <v>4022</v>
      </c>
      <c r="B101" s="25" t="s">
        <v>101</v>
      </c>
      <c r="C101" s="26" t="s">
        <v>182</v>
      </c>
    </row>
    <row r="102" spans="1:3" hidden="1" x14ac:dyDescent="0.25">
      <c r="A102" s="26">
        <v>4023</v>
      </c>
      <c r="B102" s="25" t="s">
        <v>56</v>
      </c>
      <c r="C102" s="26" t="s">
        <v>182</v>
      </c>
    </row>
    <row r="103" spans="1:3" hidden="1" x14ac:dyDescent="0.25">
      <c r="A103" s="26">
        <v>4024</v>
      </c>
      <c r="B103" s="25" t="s">
        <v>99</v>
      </c>
      <c r="C103" s="26" t="s">
        <v>182</v>
      </c>
    </row>
    <row r="104" spans="1:3" hidden="1" x14ac:dyDescent="0.25">
      <c r="A104" s="26">
        <v>4025</v>
      </c>
      <c r="B104" s="25" t="s">
        <v>57</v>
      </c>
      <c r="C104" s="26" t="s">
        <v>182</v>
      </c>
    </row>
    <row r="105" spans="1:3" hidden="1" x14ac:dyDescent="0.25">
      <c r="A105" s="26">
        <v>4026</v>
      </c>
      <c r="B105" s="25" t="s">
        <v>118</v>
      </c>
      <c r="C105" s="26" t="s">
        <v>182</v>
      </c>
    </row>
    <row r="106" spans="1:3" hidden="1" x14ac:dyDescent="0.25">
      <c r="A106" s="26">
        <v>4027</v>
      </c>
      <c r="B106" s="25" t="s">
        <v>100</v>
      </c>
      <c r="C106" s="26" t="s">
        <v>182</v>
      </c>
    </row>
    <row r="107" spans="1:3" hidden="1" x14ac:dyDescent="0.25">
      <c r="A107" s="26">
        <v>4028</v>
      </c>
      <c r="B107" s="25" t="s">
        <v>37</v>
      </c>
      <c r="C107" s="26" t="s">
        <v>182</v>
      </c>
    </row>
    <row r="108" spans="1:3" hidden="1" x14ac:dyDescent="0.25">
      <c r="A108" s="26">
        <v>5001</v>
      </c>
      <c r="B108" s="25" t="s">
        <v>215</v>
      </c>
      <c r="C108" s="26" t="s">
        <v>177</v>
      </c>
    </row>
    <row r="109" spans="1:3" hidden="1" x14ac:dyDescent="0.25">
      <c r="A109" s="26">
        <v>5002</v>
      </c>
      <c r="B109" s="25" t="s">
        <v>44</v>
      </c>
      <c r="C109" s="26" t="s">
        <v>177</v>
      </c>
    </row>
    <row r="110" spans="1:3" hidden="1" x14ac:dyDescent="0.25">
      <c r="A110" s="26">
        <v>5003</v>
      </c>
      <c r="B110" s="25" t="s">
        <v>216</v>
      </c>
      <c r="C110" s="26" t="s">
        <v>179</v>
      </c>
    </row>
    <row r="111" spans="1:3" hidden="1" x14ac:dyDescent="0.25">
      <c r="A111" s="26">
        <v>5004</v>
      </c>
      <c r="B111" s="25" t="s">
        <v>147</v>
      </c>
      <c r="C111" s="26" t="s">
        <v>182</v>
      </c>
    </row>
    <row r="112" spans="1:3" hidden="1" x14ac:dyDescent="0.25">
      <c r="A112" s="26">
        <v>5005</v>
      </c>
      <c r="B112" s="25" t="s">
        <v>30</v>
      </c>
      <c r="C112" s="26" t="s">
        <v>182</v>
      </c>
    </row>
    <row r="113" spans="1:3" hidden="1" x14ac:dyDescent="0.25">
      <c r="A113" s="26">
        <v>5006</v>
      </c>
      <c r="B113" s="25" t="s">
        <v>97</v>
      </c>
      <c r="C113" s="26" t="s">
        <v>182</v>
      </c>
    </row>
    <row r="114" spans="1:3" hidden="1" x14ac:dyDescent="0.25">
      <c r="A114" s="26">
        <v>5007</v>
      </c>
      <c r="B114" s="25" t="s">
        <v>13</v>
      </c>
      <c r="C114" s="26" t="s">
        <v>182</v>
      </c>
    </row>
    <row r="115" spans="1:3" hidden="1" x14ac:dyDescent="0.25">
      <c r="A115" s="26">
        <v>5008</v>
      </c>
      <c r="B115" s="25" t="s">
        <v>14</v>
      </c>
      <c r="C115" s="26" t="s">
        <v>182</v>
      </c>
    </row>
    <row r="116" spans="1:3" hidden="1" x14ac:dyDescent="0.25">
      <c r="A116" s="26">
        <v>5009</v>
      </c>
      <c r="B116" s="25" t="s">
        <v>40</v>
      </c>
      <c r="C116" s="26" t="s">
        <v>182</v>
      </c>
    </row>
    <row r="117" spans="1:3" hidden="1" x14ac:dyDescent="0.25">
      <c r="A117" s="26">
        <v>5010</v>
      </c>
      <c r="B117" s="25" t="s">
        <v>67</v>
      </c>
      <c r="C117" s="26" t="s">
        <v>182</v>
      </c>
    </row>
    <row r="118" spans="1:3" hidden="1" x14ac:dyDescent="0.25">
      <c r="A118" s="26">
        <v>5011</v>
      </c>
      <c r="B118" s="25" t="s">
        <v>75</v>
      </c>
      <c r="C118" s="26" t="s">
        <v>182</v>
      </c>
    </row>
    <row r="119" spans="1:3" hidden="1" x14ac:dyDescent="0.25">
      <c r="A119" s="26">
        <v>5012</v>
      </c>
      <c r="B119" s="25" t="s">
        <v>10</v>
      </c>
      <c r="C119" s="26" t="s">
        <v>182</v>
      </c>
    </row>
    <row r="120" spans="1:3" hidden="1" x14ac:dyDescent="0.25">
      <c r="A120" s="26">
        <v>5013</v>
      </c>
      <c r="B120" s="25" t="s">
        <v>45</v>
      </c>
      <c r="C120" s="26" t="s">
        <v>182</v>
      </c>
    </row>
    <row r="121" spans="1:3" hidden="1" x14ac:dyDescent="0.25">
      <c r="A121" s="26">
        <v>5014</v>
      </c>
      <c r="B121" s="25" t="s">
        <v>29</v>
      </c>
      <c r="C121" s="26" t="s">
        <v>182</v>
      </c>
    </row>
    <row r="122" spans="1:3" hidden="1" x14ac:dyDescent="0.25">
      <c r="A122" s="26">
        <v>5015</v>
      </c>
      <c r="B122" s="25" t="s">
        <v>46</v>
      </c>
      <c r="C122" s="26" t="s">
        <v>182</v>
      </c>
    </row>
    <row r="123" spans="1:3" hidden="1" x14ac:dyDescent="0.25">
      <c r="A123" s="26">
        <v>5016</v>
      </c>
      <c r="B123" s="25" t="s">
        <v>63</v>
      </c>
      <c r="C123" s="26" t="s">
        <v>182</v>
      </c>
    </row>
    <row r="124" spans="1:3" hidden="1" x14ac:dyDescent="0.25">
      <c r="A124" s="26">
        <v>5017</v>
      </c>
      <c r="B124" s="25" t="s">
        <v>24</v>
      </c>
      <c r="C124" s="26" t="s">
        <v>182</v>
      </c>
    </row>
    <row r="125" spans="1:3" hidden="1" x14ac:dyDescent="0.25">
      <c r="A125" s="26">
        <v>5018</v>
      </c>
      <c r="B125" s="25" t="s">
        <v>9</v>
      </c>
      <c r="C125" s="26" t="s">
        <v>182</v>
      </c>
    </row>
    <row r="126" spans="1:3" hidden="1" x14ac:dyDescent="0.25">
      <c r="A126" s="26">
        <v>5019</v>
      </c>
      <c r="B126" s="25" t="s">
        <v>96</v>
      </c>
      <c r="C126" s="26" t="s">
        <v>182</v>
      </c>
    </row>
    <row r="127" spans="1:3" hidden="1" x14ac:dyDescent="0.25">
      <c r="A127" s="26">
        <v>5020</v>
      </c>
      <c r="B127" s="25" t="s">
        <v>98</v>
      </c>
      <c r="C127" s="26" t="s">
        <v>182</v>
      </c>
    </row>
    <row r="128" spans="1:3" hidden="1" x14ac:dyDescent="0.25">
      <c r="A128" s="26">
        <v>5021</v>
      </c>
      <c r="B128" s="25" t="s">
        <v>92</v>
      </c>
      <c r="C128" s="26" t="s">
        <v>182</v>
      </c>
    </row>
    <row r="129" spans="1:3" hidden="1" x14ac:dyDescent="0.25">
      <c r="A129" s="26">
        <v>5022</v>
      </c>
      <c r="B129" s="25" t="s">
        <v>62</v>
      </c>
      <c r="C129" s="26" t="s">
        <v>182</v>
      </c>
    </row>
    <row r="130" spans="1:3" hidden="1" x14ac:dyDescent="0.25">
      <c r="A130" s="26">
        <v>5023</v>
      </c>
      <c r="B130" s="25" t="s">
        <v>91</v>
      </c>
      <c r="C130" s="26" t="s">
        <v>182</v>
      </c>
    </row>
    <row r="131" spans="1:3" hidden="1" x14ac:dyDescent="0.25">
      <c r="A131" s="26">
        <v>5024</v>
      </c>
      <c r="B131" s="25" t="s">
        <v>217</v>
      </c>
      <c r="C131" s="26" t="s">
        <v>210</v>
      </c>
    </row>
    <row r="132" spans="1:3" hidden="1" x14ac:dyDescent="0.25">
      <c r="A132" s="26">
        <v>5025</v>
      </c>
      <c r="B132" s="25" t="s">
        <v>218</v>
      </c>
      <c r="C132" s="26" t="s">
        <v>210</v>
      </c>
    </row>
    <row r="133" spans="1:3" hidden="1" x14ac:dyDescent="0.25">
      <c r="A133" s="26">
        <v>6001</v>
      </c>
      <c r="B133" s="25" t="s">
        <v>21</v>
      </c>
      <c r="C133" s="26" t="s">
        <v>177</v>
      </c>
    </row>
    <row r="134" spans="1:3" hidden="1" x14ac:dyDescent="0.25">
      <c r="A134" s="26">
        <v>6002</v>
      </c>
      <c r="B134" s="25" t="s">
        <v>25</v>
      </c>
      <c r="C134" s="26" t="s">
        <v>179</v>
      </c>
    </row>
    <row r="135" spans="1:3" hidden="1" x14ac:dyDescent="0.25">
      <c r="A135" s="26">
        <v>6003</v>
      </c>
      <c r="B135" s="25" t="s">
        <v>108</v>
      </c>
      <c r="C135" s="26" t="s">
        <v>182</v>
      </c>
    </row>
    <row r="136" spans="1:3" hidden="1" x14ac:dyDescent="0.25">
      <c r="A136" s="26">
        <v>6004</v>
      </c>
      <c r="B136" s="25" t="s">
        <v>102</v>
      </c>
      <c r="C136" s="26" t="s">
        <v>182</v>
      </c>
    </row>
    <row r="137" spans="1:3" hidden="1" x14ac:dyDescent="0.25">
      <c r="A137" s="26">
        <v>6005</v>
      </c>
      <c r="B137" s="27" t="s">
        <v>219</v>
      </c>
      <c r="C137" s="26" t="s">
        <v>182</v>
      </c>
    </row>
    <row r="138" spans="1:3" hidden="1" x14ac:dyDescent="0.25">
      <c r="A138" s="26">
        <v>6006</v>
      </c>
      <c r="B138" s="25" t="s">
        <v>26</v>
      </c>
      <c r="C138" s="26" t="s">
        <v>182</v>
      </c>
    </row>
    <row r="139" spans="1:3" hidden="1" x14ac:dyDescent="0.25">
      <c r="A139" s="26">
        <v>6007</v>
      </c>
      <c r="B139" s="25" t="s">
        <v>103</v>
      </c>
      <c r="C139" s="26" t="s">
        <v>182</v>
      </c>
    </row>
    <row r="140" spans="1:3" hidden="1" x14ac:dyDescent="0.25">
      <c r="A140" s="26">
        <v>6008</v>
      </c>
      <c r="B140" s="25" t="s">
        <v>106</v>
      </c>
      <c r="C140" s="26" t="s">
        <v>182</v>
      </c>
    </row>
    <row r="141" spans="1:3" hidden="1" x14ac:dyDescent="0.25">
      <c r="A141" s="26">
        <v>6009</v>
      </c>
      <c r="B141" s="25" t="s">
        <v>119</v>
      </c>
      <c r="C141" s="26" t="s">
        <v>182</v>
      </c>
    </row>
    <row r="142" spans="1:3" hidden="1" x14ac:dyDescent="0.25">
      <c r="A142" s="26">
        <v>6010</v>
      </c>
      <c r="B142" s="25" t="s">
        <v>27</v>
      </c>
      <c r="C142" s="26" t="s">
        <v>182</v>
      </c>
    </row>
    <row r="143" spans="1:3" hidden="1" x14ac:dyDescent="0.25">
      <c r="A143" s="26">
        <v>6011</v>
      </c>
      <c r="B143" s="25" t="s">
        <v>105</v>
      </c>
      <c r="C143" s="26" t="s">
        <v>177</v>
      </c>
    </row>
    <row r="144" spans="1:3" hidden="1" x14ac:dyDescent="0.25">
      <c r="A144" s="26">
        <v>6012</v>
      </c>
      <c r="B144" s="25" t="s">
        <v>19</v>
      </c>
      <c r="C144" s="26" t="s">
        <v>179</v>
      </c>
    </row>
    <row r="145" spans="1:3" hidden="1" x14ac:dyDescent="0.25">
      <c r="A145" s="26">
        <v>6013</v>
      </c>
      <c r="B145" s="25" t="s">
        <v>8</v>
      </c>
      <c r="C145" s="26" t="s">
        <v>182</v>
      </c>
    </row>
    <row r="146" spans="1:3" hidden="1" x14ac:dyDescent="0.25">
      <c r="A146" s="26">
        <v>6014</v>
      </c>
      <c r="B146" s="25" t="s">
        <v>104</v>
      </c>
      <c r="C146" s="26" t="s">
        <v>182</v>
      </c>
    </row>
    <row r="147" spans="1:3" hidden="1" x14ac:dyDescent="0.25">
      <c r="A147" s="26">
        <v>6015</v>
      </c>
      <c r="B147" s="25" t="s">
        <v>20</v>
      </c>
      <c r="C147" s="26" t="s">
        <v>182</v>
      </c>
    </row>
    <row r="148" spans="1:3" hidden="1" x14ac:dyDescent="0.25">
      <c r="A148" s="26">
        <v>6016</v>
      </c>
      <c r="B148" s="25" t="s">
        <v>23</v>
      </c>
      <c r="C148" s="26" t="s">
        <v>182</v>
      </c>
    </row>
    <row r="149" spans="1:3" hidden="1" x14ac:dyDescent="0.25">
      <c r="A149" s="26">
        <v>6017</v>
      </c>
      <c r="B149" s="25" t="s">
        <v>7</v>
      </c>
      <c r="C149" s="26" t="s">
        <v>182</v>
      </c>
    </row>
    <row r="150" spans="1:3" hidden="1" x14ac:dyDescent="0.25">
      <c r="A150" s="26">
        <v>6018</v>
      </c>
      <c r="B150" s="25" t="s">
        <v>107</v>
      </c>
      <c r="C150" s="26" t="s">
        <v>182</v>
      </c>
    </row>
    <row r="151" spans="1:3" hidden="1" x14ac:dyDescent="0.25">
      <c r="A151" s="26">
        <v>6019</v>
      </c>
      <c r="B151" s="25" t="s">
        <v>28</v>
      </c>
      <c r="C151" s="26" t="s">
        <v>182</v>
      </c>
    </row>
    <row r="152" spans="1:3" hidden="1" x14ac:dyDescent="0.25">
      <c r="A152" s="26">
        <v>6020</v>
      </c>
      <c r="B152" s="25" t="s">
        <v>220</v>
      </c>
      <c r="C152" s="26" t="s">
        <v>182</v>
      </c>
    </row>
    <row r="153" spans="1:3" hidden="1" x14ac:dyDescent="0.25">
      <c r="A153" s="26">
        <v>6021</v>
      </c>
      <c r="B153" s="25" t="s">
        <v>221</v>
      </c>
      <c r="C153" s="26" t="s">
        <v>182</v>
      </c>
    </row>
    <row r="154" spans="1:3" hidden="1" x14ac:dyDescent="0.25">
      <c r="A154" s="26">
        <v>7001</v>
      </c>
      <c r="B154" s="25" t="s">
        <v>222</v>
      </c>
      <c r="C154" s="26" t="s">
        <v>177</v>
      </c>
    </row>
    <row r="155" spans="1:3" hidden="1" x14ac:dyDescent="0.25">
      <c r="A155" s="26">
        <v>7002</v>
      </c>
      <c r="B155" s="25" t="s">
        <v>3</v>
      </c>
      <c r="C155" s="26" t="s">
        <v>179</v>
      </c>
    </row>
    <row r="156" spans="1:3" hidden="1" x14ac:dyDescent="0.25">
      <c r="A156" s="26">
        <v>7003</v>
      </c>
      <c r="B156" s="25" t="s">
        <v>144</v>
      </c>
      <c r="C156" s="26" t="s">
        <v>182</v>
      </c>
    </row>
    <row r="157" spans="1:3" hidden="1" x14ac:dyDescent="0.25">
      <c r="A157" s="26">
        <v>7004</v>
      </c>
      <c r="B157" s="25" t="s">
        <v>128</v>
      </c>
      <c r="C157" s="26" t="s">
        <v>182</v>
      </c>
    </row>
    <row r="158" spans="1:3" hidden="1" x14ac:dyDescent="0.25">
      <c r="A158" s="26">
        <v>7005</v>
      </c>
      <c r="B158" s="25" t="s">
        <v>138</v>
      </c>
      <c r="C158" s="26" t="s">
        <v>182</v>
      </c>
    </row>
    <row r="159" spans="1:3" hidden="1" x14ac:dyDescent="0.25">
      <c r="A159" s="26">
        <v>7006</v>
      </c>
      <c r="B159" s="25" t="s">
        <v>139</v>
      </c>
      <c r="C159" s="26" t="s">
        <v>182</v>
      </c>
    </row>
    <row r="160" spans="1:3" hidden="1" x14ac:dyDescent="0.25">
      <c r="A160" s="26">
        <v>7007</v>
      </c>
      <c r="B160" s="25" t="s">
        <v>61</v>
      </c>
      <c r="C160" s="26" t="s">
        <v>182</v>
      </c>
    </row>
    <row r="161" spans="1:3" hidden="1" x14ac:dyDescent="0.25">
      <c r="A161" s="26">
        <v>7008</v>
      </c>
      <c r="B161" s="25" t="s">
        <v>129</v>
      </c>
      <c r="C161" s="26" t="s">
        <v>182</v>
      </c>
    </row>
    <row r="162" spans="1:3" hidden="1" x14ac:dyDescent="0.25">
      <c r="A162" s="26">
        <v>7009</v>
      </c>
      <c r="B162" s="25" t="s">
        <v>223</v>
      </c>
      <c r="C162" s="26" t="s">
        <v>182</v>
      </c>
    </row>
    <row r="163" spans="1:3" hidden="1" x14ac:dyDescent="0.25">
      <c r="A163" s="26">
        <v>7010</v>
      </c>
      <c r="B163" s="25" t="s">
        <v>130</v>
      </c>
      <c r="C163" s="26" t="s">
        <v>182</v>
      </c>
    </row>
    <row r="164" spans="1:3" hidden="1" x14ac:dyDescent="0.25">
      <c r="A164" s="26">
        <v>7011</v>
      </c>
      <c r="B164" s="25" t="s">
        <v>134</v>
      </c>
      <c r="C164" s="26" t="s">
        <v>182</v>
      </c>
    </row>
    <row r="165" spans="1:3" hidden="1" x14ac:dyDescent="0.25">
      <c r="A165" s="26">
        <v>7012</v>
      </c>
      <c r="B165" s="25" t="s">
        <v>131</v>
      </c>
      <c r="C165" s="26" t="s">
        <v>182</v>
      </c>
    </row>
    <row r="166" spans="1:3" hidden="1" x14ac:dyDescent="0.25">
      <c r="A166" s="26">
        <v>7013</v>
      </c>
      <c r="B166" s="25" t="s">
        <v>136</v>
      </c>
      <c r="C166" s="26" t="s">
        <v>182</v>
      </c>
    </row>
    <row r="167" spans="1:3" hidden="1" x14ac:dyDescent="0.25">
      <c r="A167" s="26">
        <v>7014</v>
      </c>
      <c r="B167" s="25" t="s">
        <v>2</v>
      </c>
      <c r="C167" s="26" t="s">
        <v>182</v>
      </c>
    </row>
    <row r="168" spans="1:3" hidden="1" x14ac:dyDescent="0.25">
      <c r="A168" s="26">
        <v>7015</v>
      </c>
      <c r="B168" s="25" t="s">
        <v>125</v>
      </c>
      <c r="C168" s="26" t="s">
        <v>182</v>
      </c>
    </row>
    <row r="169" spans="1:3" hidden="1" x14ac:dyDescent="0.25">
      <c r="A169" s="26">
        <v>7016</v>
      </c>
      <c r="B169" s="25" t="s">
        <v>126</v>
      </c>
      <c r="C169" s="26" t="s">
        <v>182</v>
      </c>
    </row>
    <row r="170" spans="1:3" hidden="1" x14ac:dyDescent="0.25">
      <c r="A170" s="26">
        <v>7017</v>
      </c>
      <c r="B170" s="25" t="s">
        <v>127</v>
      </c>
      <c r="C170" s="26" t="s">
        <v>182</v>
      </c>
    </row>
    <row r="171" spans="1:3" hidden="1" x14ac:dyDescent="0.25">
      <c r="A171" s="26">
        <v>7018</v>
      </c>
      <c r="B171" s="25" t="s">
        <v>59</v>
      </c>
      <c r="C171" s="26" t="s">
        <v>182</v>
      </c>
    </row>
    <row r="172" spans="1:3" hidden="1" x14ac:dyDescent="0.25">
      <c r="A172" s="26">
        <v>7019</v>
      </c>
      <c r="B172" s="25" t="s">
        <v>135</v>
      </c>
      <c r="C172" s="26" t="s">
        <v>182</v>
      </c>
    </row>
    <row r="173" spans="1:3" hidden="1" x14ac:dyDescent="0.25">
      <c r="A173" s="26">
        <v>7020</v>
      </c>
      <c r="B173" s="25" t="s">
        <v>137</v>
      </c>
      <c r="C173" s="26" t="s">
        <v>182</v>
      </c>
    </row>
    <row r="174" spans="1:3" hidden="1" x14ac:dyDescent="0.25">
      <c r="A174" s="26">
        <v>7021</v>
      </c>
      <c r="B174" s="25" t="s">
        <v>133</v>
      </c>
      <c r="C174" s="26" t="s">
        <v>182</v>
      </c>
    </row>
    <row r="175" spans="1:3" hidden="1" x14ac:dyDescent="0.25">
      <c r="A175" s="26">
        <v>7022</v>
      </c>
      <c r="B175" s="25" t="s">
        <v>132</v>
      </c>
      <c r="C175" s="26" t="s">
        <v>182</v>
      </c>
    </row>
    <row r="176" spans="1:3" hidden="1" x14ac:dyDescent="0.25">
      <c r="A176" s="26">
        <v>7023</v>
      </c>
      <c r="B176" s="25" t="s">
        <v>60</v>
      </c>
      <c r="C176" s="26" t="s">
        <v>182</v>
      </c>
    </row>
    <row r="177" spans="1:3" hidden="1" x14ac:dyDescent="0.25">
      <c r="A177" s="26">
        <v>7024</v>
      </c>
      <c r="B177" s="25" t="s">
        <v>224</v>
      </c>
      <c r="C177" s="26" t="s">
        <v>182</v>
      </c>
    </row>
    <row r="178" spans="1:3" hidden="1" x14ac:dyDescent="0.25">
      <c r="A178" s="26">
        <v>7025</v>
      </c>
      <c r="B178" s="25" t="s">
        <v>225</v>
      </c>
      <c r="C178" s="26" t="s">
        <v>182</v>
      </c>
    </row>
    <row r="179" spans="1:3" hidden="1" x14ac:dyDescent="0.25">
      <c r="A179" s="26">
        <v>7025</v>
      </c>
      <c r="B179" s="25" t="s">
        <v>226</v>
      </c>
      <c r="C179" s="26" t="s">
        <v>182</v>
      </c>
    </row>
    <row r="180" spans="1:3" hidden="1" x14ac:dyDescent="0.25">
      <c r="A180" s="26">
        <v>7026</v>
      </c>
      <c r="B180" s="7" t="s">
        <v>141</v>
      </c>
      <c r="C180" s="26" t="s">
        <v>182</v>
      </c>
    </row>
    <row r="181" spans="1:3" hidden="1" x14ac:dyDescent="0.25">
      <c r="A181" s="26">
        <v>8001</v>
      </c>
      <c r="B181" s="25" t="s">
        <v>227</v>
      </c>
      <c r="C181" s="26" t="s">
        <v>177</v>
      </c>
    </row>
    <row r="182" spans="1:3" hidden="1" x14ac:dyDescent="0.25">
      <c r="A182" s="26">
        <v>8002</v>
      </c>
      <c r="B182" s="25" t="s">
        <v>90</v>
      </c>
      <c r="C182" s="26" t="s">
        <v>182</v>
      </c>
    </row>
    <row r="183" spans="1:3" hidden="1" x14ac:dyDescent="0.25">
      <c r="A183" s="26">
        <v>8003</v>
      </c>
      <c r="B183" s="25" t="s">
        <v>32</v>
      </c>
      <c r="C183" s="26" t="s">
        <v>182</v>
      </c>
    </row>
    <row r="184" spans="1:3" hidden="1" x14ac:dyDescent="0.25">
      <c r="A184" s="26">
        <v>8004</v>
      </c>
      <c r="B184" s="25" t="s">
        <v>89</v>
      </c>
      <c r="C184" s="26" t="s">
        <v>182</v>
      </c>
    </row>
    <row r="185" spans="1:3" hidden="1" x14ac:dyDescent="0.25">
      <c r="A185" s="26">
        <v>8005</v>
      </c>
      <c r="B185" s="25" t="s">
        <v>113</v>
      </c>
      <c r="C185" s="26" t="s">
        <v>182</v>
      </c>
    </row>
    <row r="186" spans="1:3" x14ac:dyDescent="0.25">
      <c r="A186" s="26">
        <v>8006</v>
      </c>
      <c r="B186" s="25" t="s">
        <v>228</v>
      </c>
      <c r="C186" s="26" t="s">
        <v>182</v>
      </c>
    </row>
    <row r="187" spans="1:3" hidden="1" x14ac:dyDescent="0.25">
      <c r="A187" s="26">
        <v>8007</v>
      </c>
      <c r="B187" s="25" t="s">
        <v>94</v>
      </c>
      <c r="C187" s="26" t="s">
        <v>182</v>
      </c>
    </row>
    <row r="188" spans="1:3" hidden="1" x14ac:dyDescent="0.25">
      <c r="A188" s="26">
        <v>8008</v>
      </c>
      <c r="B188" s="25" t="s">
        <v>112</v>
      </c>
      <c r="C188" s="26" t="s">
        <v>229</v>
      </c>
    </row>
    <row r="189" spans="1:3" hidden="1" x14ac:dyDescent="0.25">
      <c r="A189" s="26">
        <v>8009</v>
      </c>
      <c r="B189" s="25" t="s">
        <v>230</v>
      </c>
      <c r="C189" s="26" t="s">
        <v>182</v>
      </c>
    </row>
    <row r="190" spans="1:3" hidden="1" x14ac:dyDescent="0.25">
      <c r="A190" s="26">
        <v>8010</v>
      </c>
      <c r="B190" s="25" t="s">
        <v>124</v>
      </c>
      <c r="C190" s="26" t="s">
        <v>182</v>
      </c>
    </row>
    <row r="191" spans="1:3" hidden="1" x14ac:dyDescent="0.25">
      <c r="A191" s="26">
        <v>8011</v>
      </c>
      <c r="B191" s="25" t="s">
        <v>31</v>
      </c>
      <c r="C191" s="26" t="s">
        <v>182</v>
      </c>
    </row>
    <row r="192" spans="1:3" hidden="1" x14ac:dyDescent="0.25">
      <c r="A192" s="26">
        <v>8012</v>
      </c>
      <c r="B192" s="25" t="s">
        <v>116</v>
      </c>
      <c r="C192" s="26" t="s">
        <v>182</v>
      </c>
    </row>
    <row r="193" spans="1:3" hidden="1" x14ac:dyDescent="0.25">
      <c r="A193" s="26">
        <v>8013</v>
      </c>
      <c r="B193" s="25" t="s">
        <v>117</v>
      </c>
      <c r="C193" s="26" t="s">
        <v>182</v>
      </c>
    </row>
    <row r="194" spans="1:3" hidden="1" x14ac:dyDescent="0.25">
      <c r="A194" s="26">
        <v>8014</v>
      </c>
      <c r="B194" s="25" t="s">
        <v>168</v>
      </c>
      <c r="C194" s="26" t="s">
        <v>182</v>
      </c>
    </row>
    <row r="195" spans="1:3" hidden="1" x14ac:dyDescent="0.25">
      <c r="A195" s="26">
        <v>8015</v>
      </c>
      <c r="B195" s="25" t="s">
        <v>111</v>
      </c>
      <c r="C195" s="26" t="s">
        <v>182</v>
      </c>
    </row>
    <row r="196" spans="1:3" hidden="1" x14ac:dyDescent="0.25">
      <c r="A196" s="26">
        <v>8016</v>
      </c>
      <c r="B196" s="25" t="s">
        <v>109</v>
      </c>
      <c r="C196" s="26" t="s">
        <v>182</v>
      </c>
    </row>
    <row r="197" spans="1:3" hidden="1" x14ac:dyDescent="0.25">
      <c r="A197" s="26">
        <v>8017</v>
      </c>
      <c r="B197" s="25" t="s">
        <v>169</v>
      </c>
      <c r="C197" s="26" t="s">
        <v>182</v>
      </c>
    </row>
    <row r="198" spans="1:3" hidden="1" x14ac:dyDescent="0.25">
      <c r="A198" s="26">
        <v>8018</v>
      </c>
      <c r="B198" s="25" t="s">
        <v>110</v>
      </c>
      <c r="C198" s="26" t="s">
        <v>182</v>
      </c>
    </row>
    <row r="199" spans="1:3" hidden="1" x14ac:dyDescent="0.25">
      <c r="A199" s="26">
        <v>8019</v>
      </c>
      <c r="B199" s="25" t="s">
        <v>93</v>
      </c>
      <c r="C199" s="26" t="s">
        <v>182</v>
      </c>
    </row>
    <row r="200" spans="1:3" hidden="1" x14ac:dyDescent="0.25">
      <c r="A200" s="26">
        <v>8020</v>
      </c>
      <c r="B200" s="25" t="s">
        <v>231</v>
      </c>
      <c r="C200" s="26" t="s">
        <v>182</v>
      </c>
    </row>
    <row r="201" spans="1:3" hidden="1" x14ac:dyDescent="0.25">
      <c r="A201" s="26">
        <v>9001</v>
      </c>
      <c r="B201" s="25" t="s">
        <v>232</v>
      </c>
      <c r="C201" s="26" t="s">
        <v>233</v>
      </c>
    </row>
    <row r="202" spans="1:3" hidden="1" x14ac:dyDescent="0.25">
      <c r="A202" s="26">
        <v>9002</v>
      </c>
      <c r="B202" s="29" t="s">
        <v>78</v>
      </c>
      <c r="C202" s="26" t="s">
        <v>234</v>
      </c>
    </row>
    <row r="203" spans="1:3" hidden="1" x14ac:dyDescent="0.25">
      <c r="A203" s="26">
        <v>9003</v>
      </c>
      <c r="B203" s="25" t="s">
        <v>235</v>
      </c>
      <c r="C203" s="26" t="s">
        <v>234</v>
      </c>
    </row>
    <row r="204" spans="1:3" hidden="1" x14ac:dyDescent="0.25">
      <c r="A204" s="26">
        <v>9004</v>
      </c>
      <c r="B204" s="7" t="s">
        <v>166</v>
      </c>
      <c r="C204" s="26" t="s">
        <v>236</v>
      </c>
    </row>
    <row r="205" spans="1:3" hidden="1" x14ac:dyDescent="0.25">
      <c r="A205" s="26">
        <v>9005</v>
      </c>
      <c r="B205" s="25" t="s">
        <v>79</v>
      </c>
      <c r="C205" s="26" t="s">
        <v>236</v>
      </c>
    </row>
    <row r="206" spans="1:3" hidden="1" x14ac:dyDescent="0.25">
      <c r="A206" s="26">
        <v>9006</v>
      </c>
      <c r="B206" s="25" t="s">
        <v>171</v>
      </c>
      <c r="C206" s="26" t="s">
        <v>237</v>
      </c>
    </row>
    <row r="207" spans="1:3" hidden="1" x14ac:dyDescent="0.25">
      <c r="A207" s="26">
        <v>9007</v>
      </c>
      <c r="B207" s="29" t="s">
        <v>80</v>
      </c>
      <c r="C207" s="26" t="s">
        <v>237</v>
      </c>
    </row>
    <row r="208" spans="1:3" hidden="1" x14ac:dyDescent="0.25">
      <c r="A208" s="26">
        <v>9008</v>
      </c>
      <c r="B208" s="25" t="s">
        <v>87</v>
      </c>
      <c r="C208" s="26" t="s">
        <v>229</v>
      </c>
    </row>
    <row r="209" spans="1:3" hidden="1" x14ac:dyDescent="0.25">
      <c r="A209" s="26">
        <v>9009</v>
      </c>
      <c r="B209" s="25" t="s">
        <v>238</v>
      </c>
      <c r="C209" s="26" t="s">
        <v>229</v>
      </c>
    </row>
    <row r="210" spans="1:3" hidden="1" x14ac:dyDescent="0.25">
      <c r="A210" s="26">
        <v>9010</v>
      </c>
      <c r="B210" s="25" t="s">
        <v>239</v>
      </c>
      <c r="C210" s="26" t="s">
        <v>229</v>
      </c>
    </row>
    <row r="211" spans="1:3" hidden="1" x14ac:dyDescent="0.25">
      <c r="A211" s="26">
        <v>9011</v>
      </c>
      <c r="B211" s="25" t="s">
        <v>85</v>
      </c>
      <c r="C211" s="26" t="s">
        <v>236</v>
      </c>
    </row>
    <row r="212" spans="1:3" hidden="1" x14ac:dyDescent="0.25">
      <c r="A212" s="26">
        <v>9012</v>
      </c>
      <c r="B212" s="25" t="s">
        <v>240</v>
      </c>
      <c r="C212" s="26" t="s">
        <v>237</v>
      </c>
    </row>
    <row r="213" spans="1:3" hidden="1" x14ac:dyDescent="0.25">
      <c r="A213" s="26">
        <v>9013</v>
      </c>
      <c r="B213" s="25" t="s">
        <v>145</v>
      </c>
      <c r="C213" s="26" t="s">
        <v>237</v>
      </c>
    </row>
    <row r="214" spans="1:3" hidden="1" x14ac:dyDescent="0.25">
      <c r="A214" s="26">
        <v>9014</v>
      </c>
      <c r="B214" s="29" t="s">
        <v>34</v>
      </c>
      <c r="C214" s="26" t="s">
        <v>229</v>
      </c>
    </row>
    <row r="215" spans="1:3" hidden="1" x14ac:dyDescent="0.25">
      <c r="A215" s="26">
        <v>9015</v>
      </c>
      <c r="B215" s="29" t="s">
        <v>241</v>
      </c>
      <c r="C215" s="26" t="s">
        <v>229</v>
      </c>
    </row>
    <row r="216" spans="1:3" hidden="1" x14ac:dyDescent="0.25">
      <c r="A216" s="26">
        <v>9016</v>
      </c>
      <c r="B216" s="25" t="s">
        <v>242</v>
      </c>
      <c r="C216" s="26" t="s">
        <v>229</v>
      </c>
    </row>
    <row r="217" spans="1:3" hidden="1" x14ac:dyDescent="0.25">
      <c r="A217" s="26">
        <v>9017</v>
      </c>
      <c r="B217" s="30" t="s">
        <v>151</v>
      </c>
      <c r="C217" s="26" t="s">
        <v>237</v>
      </c>
    </row>
    <row r="218" spans="1:3" hidden="1" x14ac:dyDescent="0.25">
      <c r="A218" s="26">
        <v>9018</v>
      </c>
      <c r="B218" s="29" t="s">
        <v>243</v>
      </c>
      <c r="C218" s="26" t="s">
        <v>229</v>
      </c>
    </row>
    <row r="219" spans="1:3" hidden="1" x14ac:dyDescent="0.25">
      <c r="A219" s="26">
        <v>9019</v>
      </c>
      <c r="B219" s="25" t="s">
        <v>22</v>
      </c>
      <c r="C219" s="26" t="s">
        <v>229</v>
      </c>
    </row>
    <row r="220" spans="1:3" hidden="1" x14ac:dyDescent="0.25">
      <c r="A220" s="26">
        <v>9020</v>
      </c>
      <c r="B220" s="25" t="s">
        <v>244</v>
      </c>
      <c r="C220" s="26" t="s">
        <v>229</v>
      </c>
    </row>
    <row r="221" spans="1:3" hidden="1" x14ac:dyDescent="0.25">
      <c r="A221" s="26">
        <v>9021</v>
      </c>
      <c r="B221" s="25" t="s">
        <v>84</v>
      </c>
      <c r="C221" s="26" t="s">
        <v>236</v>
      </c>
    </row>
    <row r="222" spans="1:3" hidden="1" x14ac:dyDescent="0.25">
      <c r="A222" s="26">
        <v>9022</v>
      </c>
      <c r="B222" s="29" t="s">
        <v>95</v>
      </c>
      <c r="C222" s="26" t="s">
        <v>237</v>
      </c>
    </row>
    <row r="223" spans="1:3" hidden="1" x14ac:dyDescent="0.25">
      <c r="A223" s="26">
        <v>9023</v>
      </c>
      <c r="B223" s="25" t="s">
        <v>245</v>
      </c>
      <c r="C223" s="26" t="s">
        <v>229</v>
      </c>
    </row>
    <row r="224" spans="1:3" hidden="1" x14ac:dyDescent="0.25">
      <c r="A224" s="26">
        <v>9024</v>
      </c>
      <c r="B224" s="25" t="s">
        <v>246</v>
      </c>
      <c r="C224" s="26" t="s">
        <v>236</v>
      </c>
    </row>
    <row r="225" spans="1:3" hidden="1" x14ac:dyDescent="0.25">
      <c r="A225" s="26">
        <v>9025</v>
      </c>
      <c r="B225" s="25" t="s">
        <v>247</v>
      </c>
      <c r="C225" s="26" t="s">
        <v>237</v>
      </c>
    </row>
    <row r="226" spans="1:3" hidden="1" x14ac:dyDescent="0.25">
      <c r="A226" s="26">
        <v>9026</v>
      </c>
      <c r="B226" s="25" t="s">
        <v>170</v>
      </c>
      <c r="C226" s="26" t="s">
        <v>229</v>
      </c>
    </row>
    <row r="227" spans="1:3" hidden="1" x14ac:dyDescent="0.25">
      <c r="A227" s="26">
        <v>9027</v>
      </c>
      <c r="B227" s="25" t="s">
        <v>83</v>
      </c>
      <c r="C227" s="26" t="s">
        <v>236</v>
      </c>
    </row>
    <row r="228" spans="1:3" hidden="1" x14ac:dyDescent="0.25">
      <c r="A228" s="26">
        <v>9028</v>
      </c>
      <c r="B228" s="30" t="s">
        <v>140</v>
      </c>
      <c r="C228" s="26" t="s">
        <v>237</v>
      </c>
    </row>
    <row r="229" spans="1:3" hidden="1" x14ac:dyDescent="0.25">
      <c r="A229" s="26">
        <v>9029</v>
      </c>
      <c r="B229" s="29" t="s">
        <v>226</v>
      </c>
      <c r="C229" s="26" t="s">
        <v>236</v>
      </c>
    </row>
    <row r="230" spans="1:3" hidden="1" x14ac:dyDescent="0.25">
      <c r="A230" s="31">
        <v>9030</v>
      </c>
      <c r="B230" s="32" t="s">
        <v>248</v>
      </c>
      <c r="C230" s="31" t="s">
        <v>229</v>
      </c>
    </row>
    <row r="231" spans="1:3" hidden="1" x14ac:dyDescent="0.25">
      <c r="A231" s="33">
        <v>9031</v>
      </c>
      <c r="B231" s="34" t="s">
        <v>160</v>
      </c>
      <c r="C231" s="33" t="s">
        <v>229</v>
      </c>
    </row>
    <row r="232" spans="1:3" hidden="1" x14ac:dyDescent="0.25">
      <c r="A232" s="33">
        <v>9032</v>
      </c>
      <c r="B232" s="34" t="s">
        <v>249</v>
      </c>
      <c r="C232" s="33" t="s">
        <v>229</v>
      </c>
    </row>
    <row r="233" spans="1:3" hidden="1" x14ac:dyDescent="0.25">
      <c r="A233" s="33">
        <v>9033</v>
      </c>
      <c r="B233" s="35" t="s">
        <v>167</v>
      </c>
      <c r="C233" s="33" t="s">
        <v>229</v>
      </c>
    </row>
    <row r="234" spans="1:3" hidden="1" x14ac:dyDescent="0.25">
      <c r="A234" s="33">
        <v>9034</v>
      </c>
      <c r="B234" s="35" t="s">
        <v>251</v>
      </c>
      <c r="C234" s="33" t="s">
        <v>229</v>
      </c>
    </row>
    <row r="235" spans="1:3" hidden="1" x14ac:dyDescent="0.25">
      <c r="A235" s="33">
        <v>9035</v>
      </c>
      <c r="B235" s="35" t="s">
        <v>252</v>
      </c>
      <c r="C235" s="33" t="s">
        <v>229</v>
      </c>
    </row>
    <row r="236" spans="1:3" hidden="1" x14ac:dyDescent="0.25">
      <c r="A236" s="33">
        <v>9036</v>
      </c>
      <c r="B236" s="35" t="s">
        <v>86</v>
      </c>
      <c r="C236" s="33" t="s">
        <v>236</v>
      </c>
    </row>
    <row r="237" spans="1:3" hidden="1" x14ac:dyDescent="0.25">
      <c r="B237" s="28"/>
    </row>
    <row r="238" spans="1:3" hidden="1" x14ac:dyDescent="0.25">
      <c r="B238" s="28"/>
    </row>
    <row r="239" spans="1:3" hidden="1" x14ac:dyDescent="0.25">
      <c r="B239" s="28"/>
    </row>
    <row r="240" spans="1:3" hidden="1" x14ac:dyDescent="0.25">
      <c r="B240" s="28"/>
    </row>
    <row r="241" spans="2:2" hidden="1" x14ac:dyDescent="0.25">
      <c r="B241" s="28"/>
    </row>
    <row r="242" spans="2:2" hidden="1" x14ac:dyDescent="0.25">
      <c r="B242" s="28"/>
    </row>
    <row r="243" spans="2:2" hidden="1" x14ac:dyDescent="0.25">
      <c r="B243" s="28"/>
    </row>
    <row r="244" spans="2:2" hidden="1" x14ac:dyDescent="0.25">
      <c r="B244" s="28"/>
    </row>
    <row r="245" spans="2:2" hidden="1" x14ac:dyDescent="0.25">
      <c r="B245" s="28"/>
    </row>
    <row r="246" spans="2:2" hidden="1" x14ac:dyDescent="0.25">
      <c r="B246" s="28"/>
    </row>
    <row r="247" spans="2:2" hidden="1" x14ac:dyDescent="0.25">
      <c r="B247" s="28"/>
    </row>
    <row r="248" spans="2:2" hidden="1" x14ac:dyDescent="0.25">
      <c r="B248" s="28"/>
    </row>
    <row r="249" spans="2:2" hidden="1" x14ac:dyDescent="0.25">
      <c r="B249" s="28"/>
    </row>
    <row r="250" spans="2:2" hidden="1" x14ac:dyDescent="0.25">
      <c r="B250" s="28"/>
    </row>
    <row r="251" spans="2:2" hidden="1" x14ac:dyDescent="0.25">
      <c r="B251" s="28"/>
    </row>
    <row r="252" spans="2:2" hidden="1" x14ac:dyDescent="0.25">
      <c r="B252" s="28"/>
    </row>
    <row r="253" spans="2:2" hidden="1" x14ac:dyDescent="0.25">
      <c r="B253" s="28"/>
    </row>
    <row r="254" spans="2:2" hidden="1" x14ac:dyDescent="0.25">
      <c r="B254" s="28"/>
    </row>
    <row r="255" spans="2:2" hidden="1" x14ac:dyDescent="0.25">
      <c r="B255" s="28"/>
    </row>
    <row r="256" spans="2:2" hidden="1" x14ac:dyDescent="0.25">
      <c r="B256" s="28"/>
    </row>
    <row r="257" spans="2:2" hidden="1" x14ac:dyDescent="0.25">
      <c r="B257" s="28"/>
    </row>
    <row r="258" spans="2:2" hidden="1" x14ac:dyDescent="0.25">
      <c r="B258" s="28"/>
    </row>
    <row r="259" spans="2:2" hidden="1" x14ac:dyDescent="0.25">
      <c r="B259" s="28"/>
    </row>
    <row r="260" spans="2:2" hidden="1" x14ac:dyDescent="0.25">
      <c r="B260" s="28"/>
    </row>
    <row r="261" spans="2:2" hidden="1" x14ac:dyDescent="0.25">
      <c r="B261" s="28"/>
    </row>
    <row r="262" spans="2:2" hidden="1" x14ac:dyDescent="0.25">
      <c r="B262" s="28"/>
    </row>
    <row r="263" spans="2:2" hidden="1" x14ac:dyDescent="0.25">
      <c r="B263" s="28"/>
    </row>
    <row r="264" spans="2:2" hidden="1" x14ac:dyDescent="0.25">
      <c r="B264" s="28"/>
    </row>
    <row r="265" spans="2:2" hidden="1" x14ac:dyDescent="0.25">
      <c r="B265" s="28"/>
    </row>
    <row r="266" spans="2:2" hidden="1" x14ac:dyDescent="0.25">
      <c r="B266" s="28"/>
    </row>
    <row r="267" spans="2:2" hidden="1" x14ac:dyDescent="0.25">
      <c r="B267" s="28"/>
    </row>
    <row r="268" spans="2:2" hidden="1" x14ac:dyDescent="0.25">
      <c r="B268" s="28"/>
    </row>
    <row r="269" spans="2:2" hidden="1" x14ac:dyDescent="0.25">
      <c r="B269" s="28"/>
    </row>
    <row r="270" spans="2:2" hidden="1" x14ac:dyDescent="0.25">
      <c r="B270" s="28"/>
    </row>
    <row r="271" spans="2:2" hidden="1" x14ac:dyDescent="0.25">
      <c r="B271" s="28"/>
    </row>
    <row r="272" spans="2:2" hidden="1" x14ac:dyDescent="0.25">
      <c r="B272" s="28"/>
    </row>
    <row r="273" spans="2:2" hidden="1" x14ac:dyDescent="0.25">
      <c r="B273" s="28"/>
    </row>
    <row r="274" spans="2:2" hidden="1" x14ac:dyDescent="0.25">
      <c r="B274" s="28"/>
    </row>
    <row r="275" spans="2:2" hidden="1" x14ac:dyDescent="0.25">
      <c r="B275" s="28"/>
    </row>
    <row r="276" spans="2:2" hidden="1" x14ac:dyDescent="0.25">
      <c r="B276" s="28"/>
    </row>
    <row r="277" spans="2:2" hidden="1" x14ac:dyDescent="0.25">
      <c r="B277" s="28"/>
    </row>
    <row r="278" spans="2:2" hidden="1" x14ac:dyDescent="0.25">
      <c r="B278" s="28"/>
    </row>
    <row r="279" spans="2:2" hidden="1" x14ac:dyDescent="0.25">
      <c r="B279" s="28"/>
    </row>
    <row r="280" spans="2:2" hidden="1" x14ac:dyDescent="0.25">
      <c r="B280" s="28"/>
    </row>
    <row r="281" spans="2:2" hidden="1" x14ac:dyDescent="0.25">
      <c r="B281" s="28"/>
    </row>
    <row r="282" spans="2:2" hidden="1" x14ac:dyDescent="0.25">
      <c r="B282" s="28"/>
    </row>
    <row r="283" spans="2:2" hidden="1" x14ac:dyDescent="0.25">
      <c r="B283" s="28"/>
    </row>
    <row r="284" spans="2:2" hidden="1" x14ac:dyDescent="0.25">
      <c r="B284" s="28"/>
    </row>
    <row r="285" spans="2:2" hidden="1" x14ac:dyDescent="0.25">
      <c r="B285" s="28"/>
    </row>
    <row r="286" spans="2:2" hidden="1" x14ac:dyDescent="0.25">
      <c r="B286" s="28"/>
    </row>
    <row r="287" spans="2:2" hidden="1" x14ac:dyDescent="0.25">
      <c r="B287" s="28"/>
    </row>
    <row r="288" spans="2:2" hidden="1" x14ac:dyDescent="0.25">
      <c r="B288" s="28"/>
    </row>
    <row r="289" spans="2:2" hidden="1" x14ac:dyDescent="0.25">
      <c r="B289" s="28"/>
    </row>
    <row r="290" spans="2:2" hidden="1" x14ac:dyDescent="0.25">
      <c r="B290" s="28"/>
    </row>
    <row r="291" spans="2:2" hidden="1" x14ac:dyDescent="0.25">
      <c r="B291" s="28"/>
    </row>
    <row r="292" spans="2:2" hidden="1" x14ac:dyDescent="0.25">
      <c r="B292" s="28"/>
    </row>
    <row r="293" spans="2:2" hidden="1" x14ac:dyDescent="0.25">
      <c r="B293" s="28"/>
    </row>
    <row r="294" spans="2:2" hidden="1" x14ac:dyDescent="0.25">
      <c r="B294" s="28"/>
    </row>
    <row r="295" spans="2:2" hidden="1" x14ac:dyDescent="0.25">
      <c r="B295" s="28"/>
    </row>
    <row r="296" spans="2:2" hidden="1" x14ac:dyDescent="0.25">
      <c r="B296" s="28"/>
    </row>
    <row r="297" spans="2:2" hidden="1" x14ac:dyDescent="0.25">
      <c r="B297" s="28"/>
    </row>
    <row r="298" spans="2:2" hidden="1" x14ac:dyDescent="0.25">
      <c r="B298" s="28"/>
    </row>
    <row r="299" spans="2:2" hidden="1" x14ac:dyDescent="0.25">
      <c r="B299" s="28"/>
    </row>
    <row r="300" spans="2:2" hidden="1" x14ac:dyDescent="0.25">
      <c r="B300" s="28"/>
    </row>
    <row r="301" spans="2:2" hidden="1" x14ac:dyDescent="0.25">
      <c r="B301" s="28"/>
    </row>
    <row r="302" spans="2:2" hidden="1" x14ac:dyDescent="0.25">
      <c r="B302" s="28"/>
    </row>
    <row r="303" spans="2:2" hidden="1" x14ac:dyDescent="0.25">
      <c r="B303" s="28"/>
    </row>
    <row r="304" spans="2:2" hidden="1" x14ac:dyDescent="0.25">
      <c r="B304" s="28"/>
    </row>
    <row r="305" spans="2:2" hidden="1" x14ac:dyDescent="0.25">
      <c r="B305" s="28"/>
    </row>
    <row r="306" spans="2:2" hidden="1" x14ac:dyDescent="0.25">
      <c r="B306" s="28"/>
    </row>
    <row r="307" spans="2:2" hidden="1" x14ac:dyDescent="0.25">
      <c r="B307" s="28"/>
    </row>
    <row r="308" spans="2:2" hidden="1" x14ac:dyDescent="0.25">
      <c r="B308" s="28"/>
    </row>
    <row r="309" spans="2:2" hidden="1" x14ac:dyDescent="0.25">
      <c r="B309" s="28"/>
    </row>
    <row r="310" spans="2:2" hidden="1" x14ac:dyDescent="0.25">
      <c r="B310" s="28"/>
    </row>
    <row r="311" spans="2:2" hidden="1" x14ac:dyDescent="0.25">
      <c r="B311" s="28"/>
    </row>
    <row r="312" spans="2:2" hidden="1" x14ac:dyDescent="0.25">
      <c r="B312" s="28"/>
    </row>
    <row r="313" spans="2:2" hidden="1" x14ac:dyDescent="0.25">
      <c r="B313" s="28"/>
    </row>
    <row r="314" spans="2:2" hidden="1" x14ac:dyDescent="0.25">
      <c r="B314" s="28"/>
    </row>
    <row r="315" spans="2:2" hidden="1" x14ac:dyDescent="0.25">
      <c r="B315" s="28"/>
    </row>
    <row r="316" spans="2:2" hidden="1" x14ac:dyDescent="0.25">
      <c r="B316" s="28"/>
    </row>
    <row r="317" spans="2:2" hidden="1" x14ac:dyDescent="0.25">
      <c r="B317" s="28"/>
    </row>
    <row r="318" spans="2:2" hidden="1" x14ac:dyDescent="0.25">
      <c r="B318" s="28"/>
    </row>
    <row r="319" spans="2:2" hidden="1" x14ac:dyDescent="0.25">
      <c r="B319" s="28"/>
    </row>
    <row r="320" spans="2:2" hidden="1" x14ac:dyDescent="0.25">
      <c r="B320" s="28"/>
    </row>
    <row r="321" spans="2:2" hidden="1" x14ac:dyDescent="0.25">
      <c r="B321" s="28"/>
    </row>
    <row r="322" spans="2:2" hidden="1" x14ac:dyDescent="0.25">
      <c r="B322" s="28"/>
    </row>
    <row r="323" spans="2:2" hidden="1" x14ac:dyDescent="0.25">
      <c r="B323" s="28"/>
    </row>
    <row r="324" spans="2:2" hidden="1" x14ac:dyDescent="0.25">
      <c r="B324" s="28"/>
    </row>
    <row r="325" spans="2:2" hidden="1" x14ac:dyDescent="0.25">
      <c r="B325" s="28"/>
    </row>
    <row r="326" spans="2:2" hidden="1" x14ac:dyDescent="0.25">
      <c r="B326" s="28"/>
    </row>
    <row r="327" spans="2:2" hidden="1" x14ac:dyDescent="0.25">
      <c r="B327" s="28"/>
    </row>
    <row r="328" spans="2:2" hidden="1" x14ac:dyDescent="0.25">
      <c r="B328" s="28"/>
    </row>
    <row r="329" spans="2:2" hidden="1" x14ac:dyDescent="0.25">
      <c r="B329" s="28"/>
    </row>
    <row r="330" spans="2:2" hidden="1" x14ac:dyDescent="0.25">
      <c r="B330" s="28"/>
    </row>
    <row r="331" spans="2:2" hidden="1" x14ac:dyDescent="0.25">
      <c r="B331" s="28"/>
    </row>
    <row r="332" spans="2:2" hidden="1" x14ac:dyDescent="0.25">
      <c r="B332" s="28"/>
    </row>
    <row r="333" spans="2:2" hidden="1" x14ac:dyDescent="0.25">
      <c r="B333" s="28"/>
    </row>
    <row r="334" spans="2:2" hidden="1" x14ac:dyDescent="0.25">
      <c r="B334" s="28"/>
    </row>
    <row r="335" spans="2:2" hidden="1" x14ac:dyDescent="0.25">
      <c r="B335" s="28"/>
    </row>
    <row r="336" spans="2:2" hidden="1" x14ac:dyDescent="0.25">
      <c r="B336" s="28"/>
    </row>
    <row r="337" spans="2:2" hidden="1" x14ac:dyDescent="0.25">
      <c r="B337" s="28"/>
    </row>
    <row r="338" spans="2:2" hidden="1" x14ac:dyDescent="0.25">
      <c r="B338" s="28"/>
    </row>
    <row r="339" spans="2:2" hidden="1" x14ac:dyDescent="0.25">
      <c r="B339" s="28"/>
    </row>
    <row r="340" spans="2:2" hidden="1" x14ac:dyDescent="0.25">
      <c r="B340" s="28"/>
    </row>
    <row r="341" spans="2:2" hidden="1" x14ac:dyDescent="0.25">
      <c r="B341" s="28"/>
    </row>
    <row r="342" spans="2:2" hidden="1" x14ac:dyDescent="0.25">
      <c r="B342" s="28"/>
    </row>
    <row r="343" spans="2:2" hidden="1" x14ac:dyDescent="0.25">
      <c r="B343" s="28"/>
    </row>
    <row r="344" spans="2:2" hidden="1" x14ac:dyDescent="0.25">
      <c r="B344" s="28"/>
    </row>
    <row r="345" spans="2:2" hidden="1" x14ac:dyDescent="0.25">
      <c r="B345" s="28"/>
    </row>
    <row r="346" spans="2:2" hidden="1" x14ac:dyDescent="0.25">
      <c r="B346" s="28"/>
    </row>
    <row r="347" spans="2:2" hidden="1" x14ac:dyDescent="0.25">
      <c r="B347" s="28"/>
    </row>
    <row r="348" spans="2:2" hidden="1" x14ac:dyDescent="0.25">
      <c r="B348" s="28"/>
    </row>
    <row r="349" spans="2:2" hidden="1" x14ac:dyDescent="0.25">
      <c r="B349" s="28"/>
    </row>
    <row r="350" spans="2:2" hidden="1" x14ac:dyDescent="0.25">
      <c r="B350" s="28"/>
    </row>
    <row r="351" spans="2:2" hidden="1" x14ac:dyDescent="0.25">
      <c r="B351" s="28"/>
    </row>
    <row r="352" spans="2:2" hidden="1" x14ac:dyDescent="0.25">
      <c r="B352" s="28"/>
    </row>
    <row r="353" spans="2:2" hidden="1" x14ac:dyDescent="0.25">
      <c r="B353" s="28"/>
    </row>
    <row r="354" spans="2:2" hidden="1" x14ac:dyDescent="0.25">
      <c r="B354" s="28"/>
    </row>
    <row r="355" spans="2:2" hidden="1" x14ac:dyDescent="0.25">
      <c r="B355" s="28"/>
    </row>
    <row r="356" spans="2:2" hidden="1" x14ac:dyDescent="0.25">
      <c r="B356" s="28"/>
    </row>
    <row r="357" spans="2:2" hidden="1" x14ac:dyDescent="0.25">
      <c r="B357" s="28"/>
    </row>
    <row r="358" spans="2:2" hidden="1" x14ac:dyDescent="0.25">
      <c r="B358" s="28"/>
    </row>
    <row r="359" spans="2:2" hidden="1" x14ac:dyDescent="0.25">
      <c r="B359" s="28"/>
    </row>
    <row r="360" spans="2:2" hidden="1" x14ac:dyDescent="0.25">
      <c r="B360" s="28"/>
    </row>
    <row r="361" spans="2:2" hidden="1" x14ac:dyDescent="0.25">
      <c r="B361" s="28"/>
    </row>
    <row r="362" spans="2:2" hidden="1" x14ac:dyDescent="0.25">
      <c r="B362" s="28"/>
    </row>
    <row r="363" spans="2:2" hidden="1" x14ac:dyDescent="0.25">
      <c r="B363" s="28"/>
    </row>
    <row r="364" spans="2:2" hidden="1" x14ac:dyDescent="0.25">
      <c r="B364" s="28"/>
    </row>
    <row r="365" spans="2:2" hidden="1" x14ac:dyDescent="0.25">
      <c r="B365" s="28"/>
    </row>
    <row r="366" spans="2:2" hidden="1" x14ac:dyDescent="0.25">
      <c r="B366" s="28"/>
    </row>
    <row r="367" spans="2:2" hidden="1" x14ac:dyDescent="0.25">
      <c r="B367" s="28"/>
    </row>
    <row r="368" spans="2:2" hidden="1" x14ac:dyDescent="0.25">
      <c r="B368" s="28"/>
    </row>
    <row r="369" spans="2:2" hidden="1" x14ac:dyDescent="0.25">
      <c r="B369" s="28"/>
    </row>
    <row r="370" spans="2:2" hidden="1" x14ac:dyDescent="0.25">
      <c r="B370" s="28"/>
    </row>
    <row r="371" spans="2:2" hidden="1" x14ac:dyDescent="0.25">
      <c r="B371" s="28"/>
    </row>
    <row r="372" spans="2:2" hidden="1" x14ac:dyDescent="0.25">
      <c r="B372" s="28"/>
    </row>
    <row r="373" spans="2:2" hidden="1" x14ac:dyDescent="0.25">
      <c r="B373" s="28"/>
    </row>
    <row r="374" spans="2:2" hidden="1" x14ac:dyDescent="0.25">
      <c r="B374" s="28"/>
    </row>
    <row r="375" spans="2:2" hidden="1" x14ac:dyDescent="0.25">
      <c r="B375" s="28"/>
    </row>
    <row r="376" spans="2:2" hidden="1" x14ac:dyDescent="0.25">
      <c r="B376" s="28"/>
    </row>
    <row r="377" spans="2:2" hidden="1" x14ac:dyDescent="0.25">
      <c r="B377" s="28"/>
    </row>
    <row r="378" spans="2:2" hidden="1" x14ac:dyDescent="0.25">
      <c r="B378" s="28"/>
    </row>
    <row r="379" spans="2:2" hidden="1" x14ac:dyDescent="0.25">
      <c r="B379" s="28"/>
    </row>
    <row r="380" spans="2:2" hidden="1" x14ac:dyDescent="0.25">
      <c r="B380" s="28"/>
    </row>
    <row r="381" spans="2:2" hidden="1" x14ac:dyDescent="0.25">
      <c r="B381" s="28"/>
    </row>
    <row r="382" spans="2:2" hidden="1" x14ac:dyDescent="0.25">
      <c r="B382" s="28"/>
    </row>
    <row r="383" spans="2:2" hidden="1" x14ac:dyDescent="0.25">
      <c r="B383" s="28"/>
    </row>
    <row r="384" spans="2:2" hidden="1" x14ac:dyDescent="0.25">
      <c r="B384" s="28"/>
    </row>
    <row r="385" spans="2:2" hidden="1" x14ac:dyDescent="0.25">
      <c r="B385" s="28"/>
    </row>
    <row r="386" spans="2:2" hidden="1" x14ac:dyDescent="0.25">
      <c r="B386" s="28"/>
    </row>
    <row r="387" spans="2:2" hidden="1" x14ac:dyDescent="0.25">
      <c r="B387" s="28"/>
    </row>
    <row r="388" spans="2:2" hidden="1" x14ac:dyDescent="0.25">
      <c r="B388" s="28"/>
    </row>
    <row r="389" spans="2:2" hidden="1" x14ac:dyDescent="0.25">
      <c r="B389" s="28"/>
    </row>
    <row r="390" spans="2:2" hidden="1" x14ac:dyDescent="0.25">
      <c r="B390" s="28"/>
    </row>
    <row r="391" spans="2:2" hidden="1" x14ac:dyDescent="0.25">
      <c r="B391" s="28"/>
    </row>
    <row r="392" spans="2:2" hidden="1" x14ac:dyDescent="0.25">
      <c r="B392" s="28"/>
    </row>
    <row r="393" spans="2:2" hidden="1" x14ac:dyDescent="0.25">
      <c r="B393" s="28"/>
    </row>
    <row r="394" spans="2:2" hidden="1" x14ac:dyDescent="0.25">
      <c r="B394" s="28"/>
    </row>
    <row r="395" spans="2:2" hidden="1" x14ac:dyDescent="0.25">
      <c r="B395" s="28"/>
    </row>
    <row r="396" spans="2:2" hidden="1" x14ac:dyDescent="0.25">
      <c r="B396" s="28"/>
    </row>
    <row r="397" spans="2:2" hidden="1" x14ac:dyDescent="0.25">
      <c r="B397" s="28"/>
    </row>
    <row r="398" spans="2:2" hidden="1" x14ac:dyDescent="0.25">
      <c r="B398" s="28"/>
    </row>
    <row r="399" spans="2:2" hidden="1" x14ac:dyDescent="0.25">
      <c r="B399" s="28"/>
    </row>
    <row r="400" spans="2:2" hidden="1" x14ac:dyDescent="0.25">
      <c r="B400" s="28"/>
    </row>
    <row r="401" spans="2:2" hidden="1" x14ac:dyDescent="0.25">
      <c r="B401" s="28"/>
    </row>
    <row r="402" spans="2:2" hidden="1" x14ac:dyDescent="0.25">
      <c r="B402" s="28"/>
    </row>
    <row r="403" spans="2:2" hidden="1" x14ac:dyDescent="0.25">
      <c r="B403" s="28"/>
    </row>
    <row r="404" spans="2:2" hidden="1" x14ac:dyDescent="0.25">
      <c r="B404" s="28"/>
    </row>
    <row r="405" spans="2:2" hidden="1" x14ac:dyDescent="0.25">
      <c r="B405" s="28"/>
    </row>
    <row r="406" spans="2:2" hidden="1" x14ac:dyDescent="0.25">
      <c r="B406" s="28"/>
    </row>
    <row r="407" spans="2:2" hidden="1" x14ac:dyDescent="0.25">
      <c r="B407" s="28"/>
    </row>
    <row r="408" spans="2:2" hidden="1" x14ac:dyDescent="0.25">
      <c r="B408" s="28"/>
    </row>
    <row r="409" spans="2:2" hidden="1" x14ac:dyDescent="0.25">
      <c r="B409" s="28"/>
    </row>
    <row r="410" spans="2:2" hidden="1" x14ac:dyDescent="0.25">
      <c r="B410" s="28"/>
    </row>
    <row r="411" spans="2:2" hidden="1" x14ac:dyDescent="0.25">
      <c r="B411" s="28"/>
    </row>
    <row r="412" spans="2:2" hidden="1" x14ac:dyDescent="0.25">
      <c r="B412" s="28"/>
    </row>
    <row r="413" spans="2:2" hidden="1" x14ac:dyDescent="0.25">
      <c r="B413" s="28"/>
    </row>
    <row r="414" spans="2:2" hidden="1" x14ac:dyDescent="0.25">
      <c r="B414" s="28"/>
    </row>
    <row r="415" spans="2:2" hidden="1" x14ac:dyDescent="0.25">
      <c r="B415" s="28"/>
    </row>
    <row r="416" spans="2:2" hidden="1" x14ac:dyDescent="0.25">
      <c r="B416" s="28"/>
    </row>
    <row r="417" spans="2:2" hidden="1" x14ac:dyDescent="0.25">
      <c r="B417" s="28"/>
    </row>
    <row r="418" spans="2:2" hidden="1" x14ac:dyDescent="0.25">
      <c r="B418" s="28"/>
    </row>
    <row r="419" spans="2:2" hidden="1" x14ac:dyDescent="0.25">
      <c r="B419" s="28"/>
    </row>
    <row r="420" spans="2:2" hidden="1" x14ac:dyDescent="0.25">
      <c r="B420" s="28"/>
    </row>
    <row r="421" spans="2:2" hidden="1" x14ac:dyDescent="0.25">
      <c r="B421" s="28"/>
    </row>
    <row r="422" spans="2:2" hidden="1" x14ac:dyDescent="0.25">
      <c r="B422" s="28"/>
    </row>
    <row r="423" spans="2:2" hidden="1" x14ac:dyDescent="0.25">
      <c r="B423" s="28"/>
    </row>
    <row r="424" spans="2:2" hidden="1" x14ac:dyDescent="0.25">
      <c r="B424" s="28"/>
    </row>
    <row r="425" spans="2:2" hidden="1" x14ac:dyDescent="0.25">
      <c r="B425" s="28"/>
    </row>
    <row r="426" spans="2:2" hidden="1" x14ac:dyDescent="0.25">
      <c r="B426" s="28"/>
    </row>
    <row r="427" spans="2:2" hidden="1" x14ac:dyDescent="0.25">
      <c r="B427" s="28"/>
    </row>
    <row r="428" spans="2:2" hidden="1" x14ac:dyDescent="0.25">
      <c r="B428" s="28"/>
    </row>
    <row r="429" spans="2:2" hidden="1" x14ac:dyDescent="0.25">
      <c r="B429" s="28"/>
    </row>
    <row r="430" spans="2:2" hidden="1" x14ac:dyDescent="0.25">
      <c r="B430" s="28"/>
    </row>
    <row r="431" spans="2:2" hidden="1" x14ac:dyDescent="0.25">
      <c r="B431" s="28"/>
    </row>
    <row r="432" spans="2:2" hidden="1" x14ac:dyDescent="0.25">
      <c r="B432" s="28"/>
    </row>
    <row r="433" spans="2:2" hidden="1" x14ac:dyDescent="0.25">
      <c r="B433" s="28"/>
    </row>
    <row r="434" spans="2:2" hidden="1" x14ac:dyDescent="0.25">
      <c r="B434" s="28"/>
    </row>
    <row r="435" spans="2:2" hidden="1" x14ac:dyDescent="0.25">
      <c r="B435" s="28"/>
    </row>
    <row r="436" spans="2:2" hidden="1" x14ac:dyDescent="0.25">
      <c r="B436" s="28"/>
    </row>
    <row r="437" spans="2:2" hidden="1" x14ac:dyDescent="0.25">
      <c r="B437" s="28"/>
    </row>
    <row r="438" spans="2:2" hidden="1" x14ac:dyDescent="0.25">
      <c r="B438" s="28"/>
    </row>
    <row r="439" spans="2:2" hidden="1" x14ac:dyDescent="0.25">
      <c r="B439" s="28"/>
    </row>
    <row r="440" spans="2:2" hidden="1" x14ac:dyDescent="0.25">
      <c r="B440" s="28"/>
    </row>
    <row r="441" spans="2:2" hidden="1" x14ac:dyDescent="0.25">
      <c r="B441" s="28"/>
    </row>
    <row r="442" spans="2:2" hidden="1" x14ac:dyDescent="0.25">
      <c r="B442" s="28"/>
    </row>
    <row r="443" spans="2:2" hidden="1" x14ac:dyDescent="0.25">
      <c r="B443" s="28"/>
    </row>
    <row r="444" spans="2:2" hidden="1" x14ac:dyDescent="0.25">
      <c r="B444" s="28"/>
    </row>
    <row r="445" spans="2:2" hidden="1" x14ac:dyDescent="0.25">
      <c r="B445" s="28"/>
    </row>
    <row r="446" spans="2:2" hidden="1" x14ac:dyDescent="0.25">
      <c r="B446" s="28"/>
    </row>
    <row r="447" spans="2:2" hidden="1" x14ac:dyDescent="0.25">
      <c r="B447" s="28"/>
    </row>
    <row r="448" spans="2:2" hidden="1" x14ac:dyDescent="0.25">
      <c r="B448" s="28"/>
    </row>
    <row r="449" spans="2:2" hidden="1" x14ac:dyDescent="0.25">
      <c r="B449" s="28"/>
    </row>
    <row r="450" spans="2:2" hidden="1" x14ac:dyDescent="0.25">
      <c r="B450" s="28"/>
    </row>
    <row r="451" spans="2:2" hidden="1" x14ac:dyDescent="0.25">
      <c r="B451" s="28"/>
    </row>
    <row r="452" spans="2:2" hidden="1" x14ac:dyDescent="0.25">
      <c r="B452" s="28"/>
    </row>
    <row r="453" spans="2:2" hidden="1" x14ac:dyDescent="0.25">
      <c r="B453" s="28"/>
    </row>
    <row r="454" spans="2:2" hidden="1" x14ac:dyDescent="0.25">
      <c r="B454" s="28"/>
    </row>
    <row r="455" spans="2:2" hidden="1" x14ac:dyDescent="0.25">
      <c r="B455" s="28"/>
    </row>
    <row r="456" spans="2:2" hidden="1" x14ac:dyDescent="0.25">
      <c r="B456" s="28"/>
    </row>
    <row r="457" spans="2:2" hidden="1" x14ac:dyDescent="0.25">
      <c r="B457" s="28"/>
    </row>
    <row r="458" spans="2:2" hidden="1" x14ac:dyDescent="0.25">
      <c r="B458" s="28"/>
    </row>
    <row r="459" spans="2:2" hidden="1" x14ac:dyDescent="0.25">
      <c r="B459" s="28"/>
    </row>
    <row r="460" spans="2:2" hidden="1" x14ac:dyDescent="0.25">
      <c r="B460" s="28"/>
    </row>
    <row r="461" spans="2:2" hidden="1" x14ac:dyDescent="0.25">
      <c r="B461" s="28"/>
    </row>
    <row r="462" spans="2:2" hidden="1" x14ac:dyDescent="0.25">
      <c r="B462" s="28"/>
    </row>
    <row r="463" spans="2:2" hidden="1" x14ac:dyDescent="0.25">
      <c r="B463" s="28"/>
    </row>
    <row r="464" spans="2:2" hidden="1" x14ac:dyDescent="0.25">
      <c r="B464" s="28"/>
    </row>
    <row r="465" spans="2:2" hidden="1" x14ac:dyDescent="0.25">
      <c r="B465" s="28"/>
    </row>
    <row r="466" spans="2:2" hidden="1" x14ac:dyDescent="0.25">
      <c r="B466" s="28"/>
    </row>
    <row r="467" spans="2:2" hidden="1" x14ac:dyDescent="0.25">
      <c r="B467" s="28"/>
    </row>
    <row r="468" spans="2:2" hidden="1" x14ac:dyDescent="0.25">
      <c r="B468" s="28"/>
    </row>
    <row r="469" spans="2:2" hidden="1" x14ac:dyDescent="0.25">
      <c r="B469" s="28"/>
    </row>
    <row r="470" spans="2:2" hidden="1" x14ac:dyDescent="0.25">
      <c r="B470" s="28"/>
    </row>
    <row r="471" spans="2:2" hidden="1" x14ac:dyDescent="0.25">
      <c r="B471" s="28"/>
    </row>
    <row r="472" spans="2:2" hidden="1" x14ac:dyDescent="0.25">
      <c r="B472" s="28"/>
    </row>
    <row r="473" spans="2:2" hidden="1" x14ac:dyDescent="0.25">
      <c r="B473" s="28"/>
    </row>
    <row r="474" spans="2:2" hidden="1" x14ac:dyDescent="0.25">
      <c r="B474" s="28"/>
    </row>
    <row r="475" spans="2:2" hidden="1" x14ac:dyDescent="0.25">
      <c r="B475" s="28"/>
    </row>
    <row r="476" spans="2:2" hidden="1" x14ac:dyDescent="0.25">
      <c r="B476" s="28"/>
    </row>
    <row r="477" spans="2:2" hidden="1" x14ac:dyDescent="0.25">
      <c r="B477" s="28"/>
    </row>
    <row r="478" spans="2:2" hidden="1" x14ac:dyDescent="0.25">
      <c r="B478" s="28"/>
    </row>
    <row r="479" spans="2:2" hidden="1" x14ac:dyDescent="0.25">
      <c r="B479" s="28"/>
    </row>
    <row r="480" spans="2:2" hidden="1" x14ac:dyDescent="0.25">
      <c r="B480" s="28"/>
    </row>
    <row r="481" spans="2:2" hidden="1" x14ac:dyDescent="0.25">
      <c r="B481" s="28"/>
    </row>
    <row r="482" spans="2:2" hidden="1" x14ac:dyDescent="0.25">
      <c r="B482" s="28"/>
    </row>
    <row r="483" spans="2:2" hidden="1" x14ac:dyDescent="0.25">
      <c r="B483" s="28"/>
    </row>
    <row r="484" spans="2:2" hidden="1" x14ac:dyDescent="0.25">
      <c r="B484" s="28"/>
    </row>
    <row r="485" spans="2:2" hidden="1" x14ac:dyDescent="0.25">
      <c r="B485" s="28"/>
    </row>
    <row r="486" spans="2:2" hidden="1" x14ac:dyDescent="0.25">
      <c r="B486" s="28"/>
    </row>
    <row r="487" spans="2:2" hidden="1" x14ac:dyDescent="0.25">
      <c r="B487" s="28"/>
    </row>
    <row r="488" spans="2:2" hidden="1" x14ac:dyDescent="0.25">
      <c r="B488" s="28"/>
    </row>
    <row r="489" spans="2:2" hidden="1" x14ac:dyDescent="0.25">
      <c r="B489" s="28"/>
    </row>
    <row r="490" spans="2:2" hidden="1" x14ac:dyDescent="0.25">
      <c r="B490" s="28"/>
    </row>
    <row r="491" spans="2:2" hidden="1" x14ac:dyDescent="0.25">
      <c r="B491" s="28"/>
    </row>
    <row r="492" spans="2:2" hidden="1" x14ac:dyDescent="0.25">
      <c r="B492" s="28"/>
    </row>
    <row r="493" spans="2:2" hidden="1" x14ac:dyDescent="0.25">
      <c r="B493" s="28"/>
    </row>
    <row r="494" spans="2:2" hidden="1" x14ac:dyDescent="0.25">
      <c r="B494" s="28"/>
    </row>
    <row r="495" spans="2:2" hidden="1" x14ac:dyDescent="0.25">
      <c r="B495" s="28"/>
    </row>
    <row r="496" spans="2:2" hidden="1" x14ac:dyDescent="0.25">
      <c r="B496" s="28"/>
    </row>
    <row r="497" spans="2:2" hidden="1" x14ac:dyDescent="0.25">
      <c r="B497" s="28"/>
    </row>
    <row r="498" spans="2:2" hidden="1" x14ac:dyDescent="0.25">
      <c r="B498" s="28"/>
    </row>
    <row r="499" spans="2:2" hidden="1" x14ac:dyDescent="0.25">
      <c r="B499" s="28"/>
    </row>
    <row r="500" spans="2:2" hidden="1" x14ac:dyDescent="0.25">
      <c r="B500" s="28"/>
    </row>
    <row r="501" spans="2:2" hidden="1" x14ac:dyDescent="0.25">
      <c r="B501" s="28"/>
    </row>
    <row r="502" spans="2:2" hidden="1" x14ac:dyDescent="0.25">
      <c r="B502" s="28"/>
    </row>
    <row r="503" spans="2:2" hidden="1" x14ac:dyDescent="0.25">
      <c r="B503" s="28"/>
    </row>
    <row r="504" spans="2:2" hidden="1" x14ac:dyDescent="0.25">
      <c r="B504" s="28"/>
    </row>
    <row r="505" spans="2:2" hidden="1" x14ac:dyDescent="0.25">
      <c r="B505" s="28"/>
    </row>
    <row r="506" spans="2:2" hidden="1" x14ac:dyDescent="0.25">
      <c r="B506" s="28"/>
    </row>
    <row r="507" spans="2:2" hidden="1" x14ac:dyDescent="0.25">
      <c r="B507" s="28"/>
    </row>
    <row r="508" spans="2:2" hidden="1" x14ac:dyDescent="0.25">
      <c r="B508" s="28"/>
    </row>
    <row r="509" spans="2:2" hidden="1" x14ac:dyDescent="0.25">
      <c r="B509" s="28"/>
    </row>
    <row r="510" spans="2:2" hidden="1" x14ac:dyDescent="0.25">
      <c r="B510" s="28"/>
    </row>
    <row r="511" spans="2:2" hidden="1" x14ac:dyDescent="0.25">
      <c r="B511" s="28"/>
    </row>
    <row r="512" spans="2:2" hidden="1" x14ac:dyDescent="0.25">
      <c r="B512" s="28"/>
    </row>
    <row r="513" spans="2:2" hidden="1" x14ac:dyDescent="0.25">
      <c r="B513" s="28"/>
    </row>
    <row r="514" spans="2:2" hidden="1" x14ac:dyDescent="0.25">
      <c r="B514" s="28"/>
    </row>
    <row r="515" spans="2:2" hidden="1" x14ac:dyDescent="0.25">
      <c r="B515" s="28"/>
    </row>
    <row r="516" spans="2:2" hidden="1" x14ac:dyDescent="0.25">
      <c r="B516" s="28"/>
    </row>
    <row r="517" spans="2:2" hidden="1" x14ac:dyDescent="0.25">
      <c r="B517" s="28"/>
    </row>
    <row r="518" spans="2:2" hidden="1" x14ac:dyDescent="0.25">
      <c r="B518" s="28"/>
    </row>
    <row r="519" spans="2:2" hidden="1" x14ac:dyDescent="0.25">
      <c r="B519" s="28"/>
    </row>
    <row r="520" spans="2:2" hidden="1" x14ac:dyDescent="0.25">
      <c r="B520" s="28"/>
    </row>
    <row r="521" spans="2:2" hidden="1" x14ac:dyDescent="0.25">
      <c r="B521" s="28"/>
    </row>
    <row r="522" spans="2:2" hidden="1" x14ac:dyDescent="0.25">
      <c r="B522" s="28"/>
    </row>
    <row r="523" spans="2:2" hidden="1" x14ac:dyDescent="0.25">
      <c r="B523" s="28"/>
    </row>
    <row r="524" spans="2:2" hidden="1" x14ac:dyDescent="0.25">
      <c r="B524" s="28"/>
    </row>
    <row r="525" spans="2:2" hidden="1" x14ac:dyDescent="0.25">
      <c r="B525" s="28"/>
    </row>
    <row r="526" spans="2:2" hidden="1" x14ac:dyDescent="0.25">
      <c r="B526" s="28"/>
    </row>
    <row r="527" spans="2:2" hidden="1" x14ac:dyDescent="0.25">
      <c r="B527" s="28"/>
    </row>
    <row r="528" spans="2:2" hidden="1" x14ac:dyDescent="0.25">
      <c r="B528" s="28"/>
    </row>
    <row r="529" spans="2:2" hidden="1" x14ac:dyDescent="0.25">
      <c r="B529" s="28"/>
    </row>
    <row r="530" spans="2:2" hidden="1" x14ac:dyDescent="0.25">
      <c r="B530" s="28"/>
    </row>
    <row r="531" spans="2:2" hidden="1" x14ac:dyDescent="0.25">
      <c r="B531" s="28"/>
    </row>
    <row r="532" spans="2:2" hidden="1" x14ac:dyDescent="0.25">
      <c r="B532" s="28"/>
    </row>
    <row r="533" spans="2:2" hidden="1" x14ac:dyDescent="0.25">
      <c r="B533" s="28"/>
    </row>
    <row r="534" spans="2:2" hidden="1" x14ac:dyDescent="0.25">
      <c r="B534" s="28"/>
    </row>
    <row r="535" spans="2:2" hidden="1" x14ac:dyDescent="0.25">
      <c r="B535" s="28"/>
    </row>
    <row r="536" spans="2:2" hidden="1" x14ac:dyDescent="0.25">
      <c r="B536" s="28"/>
    </row>
    <row r="537" spans="2:2" hidden="1" x14ac:dyDescent="0.25">
      <c r="B537" s="28"/>
    </row>
    <row r="538" spans="2:2" hidden="1" x14ac:dyDescent="0.25">
      <c r="B538" s="28"/>
    </row>
    <row r="539" spans="2:2" hidden="1" x14ac:dyDescent="0.25">
      <c r="B539" s="28"/>
    </row>
    <row r="540" spans="2:2" hidden="1" x14ac:dyDescent="0.25">
      <c r="B540" s="28"/>
    </row>
    <row r="541" spans="2:2" hidden="1" x14ac:dyDescent="0.25">
      <c r="B541" s="28"/>
    </row>
    <row r="542" spans="2:2" hidden="1" x14ac:dyDescent="0.25">
      <c r="B542" s="28"/>
    </row>
    <row r="543" spans="2:2" hidden="1" x14ac:dyDescent="0.25">
      <c r="B543" s="28"/>
    </row>
    <row r="544" spans="2:2" hidden="1" x14ac:dyDescent="0.25">
      <c r="B544" s="28"/>
    </row>
    <row r="545" spans="2:2" hidden="1" x14ac:dyDescent="0.25">
      <c r="B545" s="28"/>
    </row>
    <row r="546" spans="2:2" hidden="1" x14ac:dyDescent="0.25">
      <c r="B546" s="28"/>
    </row>
    <row r="547" spans="2:2" hidden="1" x14ac:dyDescent="0.25">
      <c r="B547" s="28"/>
    </row>
    <row r="548" spans="2:2" hidden="1" x14ac:dyDescent="0.25">
      <c r="B548" s="28"/>
    </row>
    <row r="549" spans="2:2" hidden="1" x14ac:dyDescent="0.25">
      <c r="B549" s="28"/>
    </row>
    <row r="550" spans="2:2" hidden="1" x14ac:dyDescent="0.25">
      <c r="B550" s="28"/>
    </row>
    <row r="551" spans="2:2" hidden="1" x14ac:dyDescent="0.25">
      <c r="B551" s="28"/>
    </row>
    <row r="552" spans="2:2" hidden="1" x14ac:dyDescent="0.25">
      <c r="B552" s="28"/>
    </row>
    <row r="553" spans="2:2" hidden="1" x14ac:dyDescent="0.25">
      <c r="B553" s="28"/>
    </row>
    <row r="554" spans="2:2" hidden="1" x14ac:dyDescent="0.25">
      <c r="B554" s="28"/>
    </row>
    <row r="555" spans="2:2" hidden="1" x14ac:dyDescent="0.25">
      <c r="B555" s="28"/>
    </row>
    <row r="556" spans="2:2" hidden="1" x14ac:dyDescent="0.25">
      <c r="B556" s="28"/>
    </row>
    <row r="557" spans="2:2" hidden="1" x14ac:dyDescent="0.25">
      <c r="B557" s="28"/>
    </row>
    <row r="558" spans="2:2" hidden="1" x14ac:dyDescent="0.25">
      <c r="B558" s="28"/>
    </row>
    <row r="559" spans="2:2" hidden="1" x14ac:dyDescent="0.25">
      <c r="B559" s="28"/>
    </row>
    <row r="560" spans="2:2" hidden="1" x14ac:dyDescent="0.25">
      <c r="B560" s="28"/>
    </row>
    <row r="561" spans="2:2" hidden="1" x14ac:dyDescent="0.25">
      <c r="B561" s="28"/>
    </row>
    <row r="562" spans="2:2" hidden="1" x14ac:dyDescent="0.25">
      <c r="B562" s="28"/>
    </row>
    <row r="563" spans="2:2" hidden="1" x14ac:dyDescent="0.25">
      <c r="B563" s="28"/>
    </row>
    <row r="564" spans="2:2" hidden="1" x14ac:dyDescent="0.25">
      <c r="B564" s="28"/>
    </row>
    <row r="565" spans="2:2" hidden="1" x14ac:dyDescent="0.25">
      <c r="B565" s="28"/>
    </row>
    <row r="566" spans="2:2" hidden="1" x14ac:dyDescent="0.25">
      <c r="B566" s="28"/>
    </row>
    <row r="567" spans="2:2" hidden="1" x14ac:dyDescent="0.25">
      <c r="B567" s="28"/>
    </row>
    <row r="568" spans="2:2" hidden="1" x14ac:dyDescent="0.25">
      <c r="B568" s="28"/>
    </row>
    <row r="569" spans="2:2" hidden="1" x14ac:dyDescent="0.25">
      <c r="B569" s="28"/>
    </row>
    <row r="570" spans="2:2" hidden="1" x14ac:dyDescent="0.25">
      <c r="B570" s="28"/>
    </row>
    <row r="571" spans="2:2" hidden="1" x14ac:dyDescent="0.25">
      <c r="B571" s="28"/>
    </row>
    <row r="572" spans="2:2" hidden="1" x14ac:dyDescent="0.25">
      <c r="B572" s="28"/>
    </row>
    <row r="573" spans="2:2" hidden="1" x14ac:dyDescent="0.25">
      <c r="B573" s="28"/>
    </row>
    <row r="574" spans="2:2" hidden="1" x14ac:dyDescent="0.25">
      <c r="B574" s="28"/>
    </row>
    <row r="575" spans="2:2" hidden="1" x14ac:dyDescent="0.25">
      <c r="B575" s="28"/>
    </row>
    <row r="576" spans="2:2" hidden="1" x14ac:dyDescent="0.25">
      <c r="B576" s="28"/>
    </row>
    <row r="577" spans="2:2" hidden="1" x14ac:dyDescent="0.25">
      <c r="B577" s="28"/>
    </row>
    <row r="578" spans="2:2" hidden="1" x14ac:dyDescent="0.25">
      <c r="B578" s="28"/>
    </row>
    <row r="579" spans="2:2" hidden="1" x14ac:dyDescent="0.25">
      <c r="B579" s="28"/>
    </row>
    <row r="580" spans="2:2" hidden="1" x14ac:dyDescent="0.25">
      <c r="B580" s="28"/>
    </row>
    <row r="581" spans="2:2" hidden="1" x14ac:dyDescent="0.25">
      <c r="B581" s="28"/>
    </row>
    <row r="582" spans="2:2" hidden="1" x14ac:dyDescent="0.25">
      <c r="B582" s="28"/>
    </row>
    <row r="583" spans="2:2" hidden="1" x14ac:dyDescent="0.25">
      <c r="B583" s="28"/>
    </row>
    <row r="584" spans="2:2" hidden="1" x14ac:dyDescent="0.25">
      <c r="B584" s="28"/>
    </row>
    <row r="585" spans="2:2" hidden="1" x14ac:dyDescent="0.25">
      <c r="B585" s="28"/>
    </row>
    <row r="586" spans="2:2" hidden="1" x14ac:dyDescent="0.25">
      <c r="B586" s="28"/>
    </row>
    <row r="587" spans="2:2" hidden="1" x14ac:dyDescent="0.25">
      <c r="B587" s="28"/>
    </row>
    <row r="588" spans="2:2" hidden="1" x14ac:dyDescent="0.25">
      <c r="B588" s="28"/>
    </row>
    <row r="589" spans="2:2" hidden="1" x14ac:dyDescent="0.25">
      <c r="B589" s="28"/>
    </row>
    <row r="590" spans="2:2" hidden="1" x14ac:dyDescent="0.25">
      <c r="B590" s="28"/>
    </row>
    <row r="591" spans="2:2" hidden="1" x14ac:dyDescent="0.25">
      <c r="B591" s="28"/>
    </row>
    <row r="592" spans="2:2" hidden="1" x14ac:dyDescent="0.25">
      <c r="B592" s="28"/>
    </row>
    <row r="593" spans="2:2" hidden="1" x14ac:dyDescent="0.25">
      <c r="B593" s="28"/>
    </row>
    <row r="594" spans="2:2" hidden="1" x14ac:dyDescent="0.25">
      <c r="B594" s="28"/>
    </row>
    <row r="595" spans="2:2" hidden="1" x14ac:dyDescent="0.25">
      <c r="B595" s="28"/>
    </row>
    <row r="596" spans="2:2" hidden="1" x14ac:dyDescent="0.25">
      <c r="B596" s="28"/>
    </row>
    <row r="597" spans="2:2" hidden="1" x14ac:dyDescent="0.25">
      <c r="B597" s="28"/>
    </row>
    <row r="598" spans="2:2" hidden="1" x14ac:dyDescent="0.25">
      <c r="B598" s="28"/>
    </row>
    <row r="599" spans="2:2" hidden="1" x14ac:dyDescent="0.25">
      <c r="B599" s="28"/>
    </row>
    <row r="600" spans="2:2" hidden="1" x14ac:dyDescent="0.25">
      <c r="B600" s="28"/>
    </row>
    <row r="601" spans="2:2" hidden="1" x14ac:dyDescent="0.25">
      <c r="B601" s="28"/>
    </row>
    <row r="602" spans="2:2" hidden="1" x14ac:dyDescent="0.25">
      <c r="B602" s="28"/>
    </row>
    <row r="603" spans="2:2" hidden="1" x14ac:dyDescent="0.25">
      <c r="B603" s="28"/>
    </row>
    <row r="604" spans="2:2" hidden="1" x14ac:dyDescent="0.25">
      <c r="B604" s="28"/>
    </row>
    <row r="605" spans="2:2" hidden="1" x14ac:dyDescent="0.25">
      <c r="B605" s="28"/>
    </row>
    <row r="606" spans="2:2" hidden="1" x14ac:dyDescent="0.25">
      <c r="B606" s="28"/>
    </row>
    <row r="607" spans="2:2" hidden="1" x14ac:dyDescent="0.25">
      <c r="B607" s="28"/>
    </row>
    <row r="608" spans="2:2" hidden="1" x14ac:dyDescent="0.25">
      <c r="B608" s="28"/>
    </row>
    <row r="609" spans="2:2" hidden="1" x14ac:dyDescent="0.25">
      <c r="B609" s="28"/>
    </row>
    <row r="610" spans="2:2" hidden="1" x14ac:dyDescent="0.25">
      <c r="B610" s="28"/>
    </row>
    <row r="611" spans="2:2" hidden="1" x14ac:dyDescent="0.25">
      <c r="B611" s="28"/>
    </row>
    <row r="612" spans="2:2" hidden="1" x14ac:dyDescent="0.25">
      <c r="B612" s="28"/>
    </row>
    <row r="613" spans="2:2" hidden="1" x14ac:dyDescent="0.25">
      <c r="B613" s="28"/>
    </row>
    <row r="614" spans="2:2" hidden="1" x14ac:dyDescent="0.25">
      <c r="B614" s="28"/>
    </row>
    <row r="615" spans="2:2" hidden="1" x14ac:dyDescent="0.25">
      <c r="B615" s="28"/>
    </row>
    <row r="616" spans="2:2" hidden="1" x14ac:dyDescent="0.25">
      <c r="B616" s="28"/>
    </row>
    <row r="617" spans="2:2" hidden="1" x14ac:dyDescent="0.25">
      <c r="B617" s="28"/>
    </row>
    <row r="618" spans="2:2" hidden="1" x14ac:dyDescent="0.25">
      <c r="B618" s="28"/>
    </row>
    <row r="619" spans="2:2" hidden="1" x14ac:dyDescent="0.25">
      <c r="B619" s="28"/>
    </row>
    <row r="620" spans="2:2" hidden="1" x14ac:dyDescent="0.25">
      <c r="B620" s="28"/>
    </row>
    <row r="621" spans="2:2" hidden="1" x14ac:dyDescent="0.25">
      <c r="B621" s="28"/>
    </row>
    <row r="622" spans="2:2" hidden="1" x14ac:dyDescent="0.25">
      <c r="B622" s="28"/>
    </row>
    <row r="623" spans="2:2" hidden="1" x14ac:dyDescent="0.25">
      <c r="B623" s="28"/>
    </row>
    <row r="624" spans="2:2" hidden="1" x14ac:dyDescent="0.25">
      <c r="B624" s="28"/>
    </row>
    <row r="625" spans="2:2" hidden="1" x14ac:dyDescent="0.25">
      <c r="B625" s="28"/>
    </row>
    <row r="626" spans="2:2" hidden="1" x14ac:dyDescent="0.25">
      <c r="B626" s="28"/>
    </row>
    <row r="627" spans="2:2" hidden="1" x14ac:dyDescent="0.25">
      <c r="B627" s="28"/>
    </row>
    <row r="628" spans="2:2" hidden="1" x14ac:dyDescent="0.25">
      <c r="B628" s="28"/>
    </row>
    <row r="629" spans="2:2" hidden="1" x14ac:dyDescent="0.25">
      <c r="B629" s="28"/>
    </row>
    <row r="630" spans="2:2" hidden="1" x14ac:dyDescent="0.25">
      <c r="B630" s="28"/>
    </row>
    <row r="631" spans="2:2" hidden="1" x14ac:dyDescent="0.25">
      <c r="B631" s="28"/>
    </row>
    <row r="632" spans="2:2" hidden="1" x14ac:dyDescent="0.25">
      <c r="B632" s="28"/>
    </row>
    <row r="633" spans="2:2" hidden="1" x14ac:dyDescent="0.25">
      <c r="B633" s="28"/>
    </row>
    <row r="634" spans="2:2" hidden="1" x14ac:dyDescent="0.25">
      <c r="B634" s="28"/>
    </row>
    <row r="635" spans="2:2" hidden="1" x14ac:dyDescent="0.25">
      <c r="B635" s="28"/>
    </row>
    <row r="636" spans="2:2" hidden="1" x14ac:dyDescent="0.25">
      <c r="B636" s="28"/>
    </row>
    <row r="637" spans="2:2" hidden="1" x14ac:dyDescent="0.25">
      <c r="B637" s="28"/>
    </row>
    <row r="638" spans="2:2" hidden="1" x14ac:dyDescent="0.25">
      <c r="B638" s="28"/>
    </row>
    <row r="639" spans="2:2" hidden="1" x14ac:dyDescent="0.25">
      <c r="B639" s="28"/>
    </row>
    <row r="640" spans="2:2" hidden="1" x14ac:dyDescent="0.25">
      <c r="B640" s="28"/>
    </row>
    <row r="641" spans="2:2" hidden="1" x14ac:dyDescent="0.25">
      <c r="B641" s="28"/>
    </row>
    <row r="642" spans="2:2" hidden="1" x14ac:dyDescent="0.25">
      <c r="B642" s="28"/>
    </row>
    <row r="643" spans="2:2" hidden="1" x14ac:dyDescent="0.25">
      <c r="B643" s="28"/>
    </row>
    <row r="644" spans="2:2" hidden="1" x14ac:dyDescent="0.25">
      <c r="B644" s="28"/>
    </row>
    <row r="645" spans="2:2" hidden="1" x14ac:dyDescent="0.25">
      <c r="B645" s="28"/>
    </row>
    <row r="646" spans="2:2" hidden="1" x14ac:dyDescent="0.25">
      <c r="B646" s="28"/>
    </row>
    <row r="647" spans="2:2" hidden="1" x14ac:dyDescent="0.25">
      <c r="B647" s="28"/>
    </row>
    <row r="648" spans="2:2" hidden="1" x14ac:dyDescent="0.25">
      <c r="B648" s="28"/>
    </row>
    <row r="649" spans="2:2" hidden="1" x14ac:dyDescent="0.25">
      <c r="B649" s="28"/>
    </row>
    <row r="650" spans="2:2" hidden="1" x14ac:dyDescent="0.25">
      <c r="B650" s="28"/>
    </row>
    <row r="651" spans="2:2" hidden="1" x14ac:dyDescent="0.25">
      <c r="B651" s="28"/>
    </row>
    <row r="652" spans="2:2" hidden="1" x14ac:dyDescent="0.25">
      <c r="B652" s="28"/>
    </row>
    <row r="653" spans="2:2" hidden="1" x14ac:dyDescent="0.25">
      <c r="B653" s="28"/>
    </row>
    <row r="654" spans="2:2" hidden="1" x14ac:dyDescent="0.25">
      <c r="B654" s="28"/>
    </row>
    <row r="655" spans="2:2" hidden="1" x14ac:dyDescent="0.25">
      <c r="B655" s="28"/>
    </row>
    <row r="656" spans="2:2" hidden="1" x14ac:dyDescent="0.25">
      <c r="B656" s="28"/>
    </row>
    <row r="657" spans="2:2" hidden="1" x14ac:dyDescent="0.25">
      <c r="B657" s="28"/>
    </row>
    <row r="658" spans="2:2" hidden="1" x14ac:dyDescent="0.25">
      <c r="B658" s="28"/>
    </row>
    <row r="659" spans="2:2" hidden="1" x14ac:dyDescent="0.25">
      <c r="B659" s="28"/>
    </row>
    <row r="660" spans="2:2" hidden="1" x14ac:dyDescent="0.25">
      <c r="B660" s="28"/>
    </row>
    <row r="661" spans="2:2" hidden="1" x14ac:dyDescent="0.25">
      <c r="B661" s="28"/>
    </row>
    <row r="662" spans="2:2" hidden="1" x14ac:dyDescent="0.25">
      <c r="B662" s="28"/>
    </row>
    <row r="663" spans="2:2" hidden="1" x14ac:dyDescent="0.25">
      <c r="B663" s="28"/>
    </row>
    <row r="664" spans="2:2" hidden="1" x14ac:dyDescent="0.25">
      <c r="B664" s="28"/>
    </row>
    <row r="665" spans="2:2" hidden="1" x14ac:dyDescent="0.25">
      <c r="B665" s="28"/>
    </row>
    <row r="666" spans="2:2" hidden="1" x14ac:dyDescent="0.25">
      <c r="B666" s="28"/>
    </row>
    <row r="667" spans="2:2" hidden="1" x14ac:dyDescent="0.25">
      <c r="B667" s="28"/>
    </row>
    <row r="668" spans="2:2" hidden="1" x14ac:dyDescent="0.25">
      <c r="B668" s="28"/>
    </row>
    <row r="669" spans="2:2" hidden="1" x14ac:dyDescent="0.25">
      <c r="B669" s="28"/>
    </row>
    <row r="670" spans="2:2" hidden="1" x14ac:dyDescent="0.25">
      <c r="B670" s="28"/>
    </row>
    <row r="671" spans="2:2" hidden="1" x14ac:dyDescent="0.25">
      <c r="B671" s="28"/>
    </row>
    <row r="672" spans="2:2" hidden="1" x14ac:dyDescent="0.25">
      <c r="B672" s="28"/>
    </row>
    <row r="673" spans="2:2" hidden="1" x14ac:dyDescent="0.25">
      <c r="B673" s="28"/>
    </row>
    <row r="674" spans="2:2" hidden="1" x14ac:dyDescent="0.25">
      <c r="B674" s="28"/>
    </row>
    <row r="675" spans="2:2" hidden="1" x14ac:dyDescent="0.25">
      <c r="B675" s="28"/>
    </row>
    <row r="676" spans="2:2" hidden="1" x14ac:dyDescent="0.25">
      <c r="B676" s="28"/>
    </row>
    <row r="677" spans="2:2" hidden="1" x14ac:dyDescent="0.25">
      <c r="B677" s="28"/>
    </row>
    <row r="678" spans="2:2" hidden="1" x14ac:dyDescent="0.25">
      <c r="B678" s="28"/>
    </row>
    <row r="679" spans="2:2" hidden="1" x14ac:dyDescent="0.25">
      <c r="B679" s="28"/>
    </row>
    <row r="680" spans="2:2" hidden="1" x14ac:dyDescent="0.25">
      <c r="B680" s="28"/>
    </row>
    <row r="681" spans="2:2" hidden="1" x14ac:dyDescent="0.25">
      <c r="B681" s="28"/>
    </row>
    <row r="682" spans="2:2" hidden="1" x14ac:dyDescent="0.25">
      <c r="B682" s="28"/>
    </row>
    <row r="683" spans="2:2" hidden="1" x14ac:dyDescent="0.25">
      <c r="B683" s="28"/>
    </row>
    <row r="684" spans="2:2" hidden="1" x14ac:dyDescent="0.25">
      <c r="B684" s="28"/>
    </row>
    <row r="685" spans="2:2" hidden="1" x14ac:dyDescent="0.25">
      <c r="B685" s="28"/>
    </row>
    <row r="686" spans="2:2" hidden="1" x14ac:dyDescent="0.25">
      <c r="B686" s="28"/>
    </row>
    <row r="687" spans="2:2" hidden="1" x14ac:dyDescent="0.25">
      <c r="B687" s="28"/>
    </row>
    <row r="688" spans="2:2" hidden="1" x14ac:dyDescent="0.25">
      <c r="B688" s="28"/>
    </row>
    <row r="689" spans="2:2" hidden="1" x14ac:dyDescent="0.25">
      <c r="B689" s="28"/>
    </row>
    <row r="690" spans="2:2" hidden="1" x14ac:dyDescent="0.25">
      <c r="B690" s="28"/>
    </row>
    <row r="691" spans="2:2" hidden="1" x14ac:dyDescent="0.25">
      <c r="B691" s="28"/>
    </row>
    <row r="692" spans="2:2" hidden="1" x14ac:dyDescent="0.25">
      <c r="B692" s="28"/>
    </row>
    <row r="693" spans="2:2" hidden="1" x14ac:dyDescent="0.25">
      <c r="B693" s="28"/>
    </row>
    <row r="694" spans="2:2" hidden="1" x14ac:dyDescent="0.25">
      <c r="B694" s="28"/>
    </row>
    <row r="695" spans="2:2" hidden="1" x14ac:dyDescent="0.25">
      <c r="B695" s="28"/>
    </row>
    <row r="696" spans="2:2" hidden="1" x14ac:dyDescent="0.25">
      <c r="B696" s="28"/>
    </row>
    <row r="697" spans="2:2" hidden="1" x14ac:dyDescent="0.25">
      <c r="B697" s="28"/>
    </row>
    <row r="698" spans="2:2" hidden="1" x14ac:dyDescent="0.25">
      <c r="B698" s="28"/>
    </row>
    <row r="699" spans="2:2" hidden="1" x14ac:dyDescent="0.25">
      <c r="B699" s="28"/>
    </row>
    <row r="700" spans="2:2" hidden="1" x14ac:dyDescent="0.25">
      <c r="B700" s="28"/>
    </row>
    <row r="701" spans="2:2" hidden="1" x14ac:dyDescent="0.25">
      <c r="B701" s="28"/>
    </row>
    <row r="702" spans="2:2" hidden="1" x14ac:dyDescent="0.25">
      <c r="B702" s="28"/>
    </row>
    <row r="703" spans="2:2" hidden="1" x14ac:dyDescent="0.25">
      <c r="B703" s="28"/>
    </row>
    <row r="704" spans="2:2" hidden="1" x14ac:dyDescent="0.25">
      <c r="B704" s="28"/>
    </row>
    <row r="705" spans="2:2" hidden="1" x14ac:dyDescent="0.25">
      <c r="B705" s="28"/>
    </row>
    <row r="706" spans="2:2" hidden="1" x14ac:dyDescent="0.25">
      <c r="B706" s="28"/>
    </row>
    <row r="707" spans="2:2" hidden="1" x14ac:dyDescent="0.25">
      <c r="B707" s="28"/>
    </row>
    <row r="708" spans="2:2" hidden="1" x14ac:dyDescent="0.25">
      <c r="B708" s="28"/>
    </row>
    <row r="709" spans="2:2" hidden="1" x14ac:dyDescent="0.25">
      <c r="B709" s="28"/>
    </row>
    <row r="710" spans="2:2" hidden="1" x14ac:dyDescent="0.25">
      <c r="B710" s="28"/>
    </row>
    <row r="711" spans="2:2" hidden="1" x14ac:dyDescent="0.25">
      <c r="B711" s="28"/>
    </row>
    <row r="712" spans="2:2" hidden="1" x14ac:dyDescent="0.25">
      <c r="B712" s="28"/>
    </row>
    <row r="713" spans="2:2" hidden="1" x14ac:dyDescent="0.25">
      <c r="B713" s="28"/>
    </row>
    <row r="714" spans="2:2" hidden="1" x14ac:dyDescent="0.25">
      <c r="B714" s="28"/>
    </row>
    <row r="715" spans="2:2" hidden="1" x14ac:dyDescent="0.25">
      <c r="B715" s="28"/>
    </row>
    <row r="716" spans="2:2" hidden="1" x14ac:dyDescent="0.25">
      <c r="B716" s="28"/>
    </row>
    <row r="717" spans="2:2" hidden="1" x14ac:dyDescent="0.25">
      <c r="B717" s="28"/>
    </row>
    <row r="718" spans="2:2" hidden="1" x14ac:dyDescent="0.25">
      <c r="B718" s="28"/>
    </row>
    <row r="719" spans="2:2" hidden="1" x14ac:dyDescent="0.25">
      <c r="B719" s="28"/>
    </row>
    <row r="720" spans="2:2" hidden="1" x14ac:dyDescent="0.25">
      <c r="B720" s="28"/>
    </row>
    <row r="721" spans="2:2" hidden="1" x14ac:dyDescent="0.25">
      <c r="B721" s="28"/>
    </row>
    <row r="722" spans="2:2" hidden="1" x14ac:dyDescent="0.25">
      <c r="B722" s="28"/>
    </row>
    <row r="723" spans="2:2" hidden="1" x14ac:dyDescent="0.25">
      <c r="B723" s="28"/>
    </row>
    <row r="724" spans="2:2" hidden="1" x14ac:dyDescent="0.25">
      <c r="B724" s="28"/>
    </row>
    <row r="725" spans="2:2" hidden="1" x14ac:dyDescent="0.25">
      <c r="B725" s="28"/>
    </row>
    <row r="726" spans="2:2" hidden="1" x14ac:dyDescent="0.25">
      <c r="B726" s="28"/>
    </row>
    <row r="727" spans="2:2" hidden="1" x14ac:dyDescent="0.25">
      <c r="B727" s="28"/>
    </row>
    <row r="728" spans="2:2" hidden="1" x14ac:dyDescent="0.25">
      <c r="B728" s="28"/>
    </row>
    <row r="729" spans="2:2" hidden="1" x14ac:dyDescent="0.25">
      <c r="B729" s="28"/>
    </row>
    <row r="730" spans="2:2" hidden="1" x14ac:dyDescent="0.25">
      <c r="B730" s="28"/>
    </row>
    <row r="731" spans="2:2" hidden="1" x14ac:dyDescent="0.25">
      <c r="B731" s="28"/>
    </row>
    <row r="732" spans="2:2" hidden="1" x14ac:dyDescent="0.25">
      <c r="B732" s="28"/>
    </row>
    <row r="733" spans="2:2" hidden="1" x14ac:dyDescent="0.25">
      <c r="B733" s="28"/>
    </row>
    <row r="734" spans="2:2" hidden="1" x14ac:dyDescent="0.25">
      <c r="B734" s="28"/>
    </row>
    <row r="735" spans="2:2" hidden="1" x14ac:dyDescent="0.25">
      <c r="B735" s="28"/>
    </row>
    <row r="736" spans="2:2" hidden="1" x14ac:dyDescent="0.25">
      <c r="B736" s="28"/>
    </row>
    <row r="737" spans="2:2" hidden="1" x14ac:dyDescent="0.25">
      <c r="B737" s="28"/>
    </row>
    <row r="738" spans="2:2" hidden="1" x14ac:dyDescent="0.25">
      <c r="B738" s="28"/>
    </row>
    <row r="739" spans="2:2" hidden="1" x14ac:dyDescent="0.25">
      <c r="B739" s="28"/>
    </row>
    <row r="740" spans="2:2" hidden="1" x14ac:dyDescent="0.25">
      <c r="B740" s="28"/>
    </row>
    <row r="741" spans="2:2" hidden="1" x14ac:dyDescent="0.25">
      <c r="B741" s="28"/>
    </row>
    <row r="742" spans="2:2" hidden="1" x14ac:dyDescent="0.25">
      <c r="B742" s="28"/>
    </row>
    <row r="743" spans="2:2" hidden="1" x14ac:dyDescent="0.25">
      <c r="B743" s="28"/>
    </row>
    <row r="744" spans="2:2" hidden="1" x14ac:dyDescent="0.25">
      <c r="B744" s="28"/>
    </row>
    <row r="745" spans="2:2" hidden="1" x14ac:dyDescent="0.25">
      <c r="B745" s="28"/>
    </row>
    <row r="746" spans="2:2" hidden="1" x14ac:dyDescent="0.25">
      <c r="B746" s="28"/>
    </row>
    <row r="747" spans="2:2" hidden="1" x14ac:dyDescent="0.25">
      <c r="B747" s="28"/>
    </row>
    <row r="748" spans="2:2" hidden="1" x14ac:dyDescent="0.25">
      <c r="B748" s="28"/>
    </row>
    <row r="749" spans="2:2" hidden="1" x14ac:dyDescent="0.25">
      <c r="B749" s="28"/>
    </row>
    <row r="750" spans="2:2" hidden="1" x14ac:dyDescent="0.25">
      <c r="B750" s="28"/>
    </row>
    <row r="751" spans="2:2" hidden="1" x14ac:dyDescent="0.25">
      <c r="B751" s="28"/>
    </row>
    <row r="752" spans="2:2" hidden="1" x14ac:dyDescent="0.25">
      <c r="B752" s="28"/>
    </row>
    <row r="753" spans="2:2" hidden="1" x14ac:dyDescent="0.25">
      <c r="B753" s="28"/>
    </row>
    <row r="754" spans="2:2" hidden="1" x14ac:dyDescent="0.25">
      <c r="B754" s="28"/>
    </row>
    <row r="755" spans="2:2" hidden="1" x14ac:dyDescent="0.25">
      <c r="B755" s="28"/>
    </row>
    <row r="756" spans="2:2" hidden="1" x14ac:dyDescent="0.25">
      <c r="B756" s="28"/>
    </row>
    <row r="757" spans="2:2" hidden="1" x14ac:dyDescent="0.25">
      <c r="B757" s="28"/>
    </row>
    <row r="758" spans="2:2" hidden="1" x14ac:dyDescent="0.25">
      <c r="B758" s="28"/>
    </row>
    <row r="759" spans="2:2" hidden="1" x14ac:dyDescent="0.25">
      <c r="B759" s="28"/>
    </row>
    <row r="760" spans="2:2" hidden="1" x14ac:dyDescent="0.25">
      <c r="B760" s="28"/>
    </row>
    <row r="761" spans="2:2" hidden="1" x14ac:dyDescent="0.25">
      <c r="B761" s="28"/>
    </row>
    <row r="762" spans="2:2" hidden="1" x14ac:dyDescent="0.25">
      <c r="B762" s="28"/>
    </row>
    <row r="763" spans="2:2" hidden="1" x14ac:dyDescent="0.25">
      <c r="B763" s="28"/>
    </row>
    <row r="764" spans="2:2" hidden="1" x14ac:dyDescent="0.25">
      <c r="B764" s="28"/>
    </row>
    <row r="765" spans="2:2" hidden="1" x14ac:dyDescent="0.25">
      <c r="B765" s="28"/>
    </row>
    <row r="766" spans="2:2" hidden="1" x14ac:dyDescent="0.25">
      <c r="B766" s="28"/>
    </row>
    <row r="767" spans="2:2" hidden="1" x14ac:dyDescent="0.25">
      <c r="B767" s="28"/>
    </row>
    <row r="768" spans="2:2" hidden="1" x14ac:dyDescent="0.25">
      <c r="B768" s="28"/>
    </row>
    <row r="769" spans="2:2" hidden="1" x14ac:dyDescent="0.25">
      <c r="B769" s="28"/>
    </row>
    <row r="770" spans="2:2" hidden="1" x14ac:dyDescent="0.25">
      <c r="B770" s="28"/>
    </row>
    <row r="771" spans="2:2" hidden="1" x14ac:dyDescent="0.25">
      <c r="B771" s="28"/>
    </row>
    <row r="772" spans="2:2" hidden="1" x14ac:dyDescent="0.25">
      <c r="B772" s="28"/>
    </row>
    <row r="773" spans="2:2" hidden="1" x14ac:dyDescent="0.25">
      <c r="B773" s="28"/>
    </row>
    <row r="774" spans="2:2" hidden="1" x14ac:dyDescent="0.25">
      <c r="B774" s="28"/>
    </row>
    <row r="775" spans="2:2" hidden="1" x14ac:dyDescent="0.25">
      <c r="B775" s="28"/>
    </row>
    <row r="776" spans="2:2" hidden="1" x14ac:dyDescent="0.25">
      <c r="B776" s="28"/>
    </row>
    <row r="777" spans="2:2" hidden="1" x14ac:dyDescent="0.25">
      <c r="B777" s="28"/>
    </row>
    <row r="778" spans="2:2" hidden="1" x14ac:dyDescent="0.25">
      <c r="B778" s="28"/>
    </row>
    <row r="779" spans="2:2" hidden="1" x14ac:dyDescent="0.25">
      <c r="B779" s="28"/>
    </row>
    <row r="780" spans="2:2" hidden="1" x14ac:dyDescent="0.25">
      <c r="B780" s="28"/>
    </row>
    <row r="781" spans="2:2" hidden="1" x14ac:dyDescent="0.25">
      <c r="B781" s="28"/>
    </row>
    <row r="782" spans="2:2" hidden="1" x14ac:dyDescent="0.25">
      <c r="B782" s="28"/>
    </row>
    <row r="783" spans="2:2" hidden="1" x14ac:dyDescent="0.25">
      <c r="B783" s="28"/>
    </row>
    <row r="784" spans="2:2" hidden="1" x14ac:dyDescent="0.25">
      <c r="B784" s="28"/>
    </row>
    <row r="785" spans="2:2" hidden="1" x14ac:dyDescent="0.25">
      <c r="B785" s="28"/>
    </row>
    <row r="786" spans="2:2" hidden="1" x14ac:dyDescent="0.25">
      <c r="B786" s="28"/>
    </row>
    <row r="787" spans="2:2" hidden="1" x14ac:dyDescent="0.25">
      <c r="B787" s="28"/>
    </row>
    <row r="788" spans="2:2" hidden="1" x14ac:dyDescent="0.25">
      <c r="B788" s="28"/>
    </row>
    <row r="789" spans="2:2" hidden="1" x14ac:dyDescent="0.25">
      <c r="B789" s="28"/>
    </row>
    <row r="790" spans="2:2" hidden="1" x14ac:dyDescent="0.25">
      <c r="B790" s="28"/>
    </row>
    <row r="791" spans="2:2" hidden="1" x14ac:dyDescent="0.25">
      <c r="B791" s="28"/>
    </row>
    <row r="792" spans="2:2" hidden="1" x14ac:dyDescent="0.25">
      <c r="B792" s="28"/>
    </row>
    <row r="793" spans="2:2" hidden="1" x14ac:dyDescent="0.25">
      <c r="B793" s="28"/>
    </row>
    <row r="794" spans="2:2" hidden="1" x14ac:dyDescent="0.25">
      <c r="B794" s="28"/>
    </row>
    <row r="795" spans="2:2" hidden="1" x14ac:dyDescent="0.25">
      <c r="B795" s="28"/>
    </row>
    <row r="796" spans="2:2" hidden="1" x14ac:dyDescent="0.25">
      <c r="B796" s="28"/>
    </row>
    <row r="797" spans="2:2" hidden="1" x14ac:dyDescent="0.25">
      <c r="B797" s="28"/>
    </row>
    <row r="798" spans="2:2" hidden="1" x14ac:dyDescent="0.25">
      <c r="B798" s="28"/>
    </row>
    <row r="799" spans="2:2" hidden="1" x14ac:dyDescent="0.25">
      <c r="B799" s="28"/>
    </row>
    <row r="800" spans="2:2" hidden="1" x14ac:dyDescent="0.25">
      <c r="B800" s="28"/>
    </row>
    <row r="801" spans="2:2" hidden="1" x14ac:dyDescent="0.25">
      <c r="B801" s="28"/>
    </row>
    <row r="802" spans="2:2" hidden="1" x14ac:dyDescent="0.25">
      <c r="B802" s="28"/>
    </row>
    <row r="803" spans="2:2" hidden="1" x14ac:dyDescent="0.25">
      <c r="B803" s="28"/>
    </row>
    <row r="804" spans="2:2" hidden="1" x14ac:dyDescent="0.25">
      <c r="B804" s="28"/>
    </row>
    <row r="805" spans="2:2" hidden="1" x14ac:dyDescent="0.25">
      <c r="B805" s="28"/>
    </row>
    <row r="806" spans="2:2" hidden="1" x14ac:dyDescent="0.25">
      <c r="B806" s="28"/>
    </row>
    <row r="807" spans="2:2" hidden="1" x14ac:dyDescent="0.25">
      <c r="B807" s="28"/>
    </row>
    <row r="808" spans="2:2" hidden="1" x14ac:dyDescent="0.25">
      <c r="B808" s="28"/>
    </row>
    <row r="809" spans="2:2" hidden="1" x14ac:dyDescent="0.25">
      <c r="B809" s="28"/>
    </row>
    <row r="810" spans="2:2" hidden="1" x14ac:dyDescent="0.25">
      <c r="B810" s="28"/>
    </row>
    <row r="811" spans="2:2" hidden="1" x14ac:dyDescent="0.25">
      <c r="B811" s="28"/>
    </row>
    <row r="812" spans="2:2" hidden="1" x14ac:dyDescent="0.25">
      <c r="B812" s="28"/>
    </row>
    <row r="813" spans="2:2" hidden="1" x14ac:dyDescent="0.25">
      <c r="B813" s="28"/>
    </row>
    <row r="814" spans="2:2" hidden="1" x14ac:dyDescent="0.25">
      <c r="B814" s="28"/>
    </row>
    <row r="815" spans="2:2" hidden="1" x14ac:dyDescent="0.25">
      <c r="B815" s="28"/>
    </row>
    <row r="816" spans="2:2" hidden="1" x14ac:dyDescent="0.25">
      <c r="B816" s="28"/>
    </row>
    <row r="817" spans="2:2" hidden="1" x14ac:dyDescent="0.25">
      <c r="B817" s="28"/>
    </row>
    <row r="818" spans="2:2" hidden="1" x14ac:dyDescent="0.25">
      <c r="B818" s="28"/>
    </row>
    <row r="819" spans="2:2" hidden="1" x14ac:dyDescent="0.25">
      <c r="B819" s="28"/>
    </row>
    <row r="820" spans="2:2" hidden="1" x14ac:dyDescent="0.25">
      <c r="B820" s="28"/>
    </row>
    <row r="821" spans="2:2" hidden="1" x14ac:dyDescent="0.25">
      <c r="B821" s="28"/>
    </row>
    <row r="822" spans="2:2" hidden="1" x14ac:dyDescent="0.25">
      <c r="B822" s="28"/>
    </row>
    <row r="823" spans="2:2" hidden="1" x14ac:dyDescent="0.25">
      <c r="B823" s="28"/>
    </row>
    <row r="824" spans="2:2" hidden="1" x14ac:dyDescent="0.25">
      <c r="B824" s="28"/>
    </row>
    <row r="825" spans="2:2" hidden="1" x14ac:dyDescent="0.25">
      <c r="B825" s="28"/>
    </row>
    <row r="826" spans="2:2" hidden="1" x14ac:dyDescent="0.25">
      <c r="B826" s="28"/>
    </row>
    <row r="827" spans="2:2" hidden="1" x14ac:dyDescent="0.25">
      <c r="B827" s="28"/>
    </row>
    <row r="828" spans="2:2" hidden="1" x14ac:dyDescent="0.25">
      <c r="B828" s="28"/>
    </row>
    <row r="829" spans="2:2" hidden="1" x14ac:dyDescent="0.25">
      <c r="B829" s="28"/>
    </row>
    <row r="830" spans="2:2" hidden="1" x14ac:dyDescent="0.25">
      <c r="B830" s="28"/>
    </row>
    <row r="831" spans="2:2" hidden="1" x14ac:dyDescent="0.25">
      <c r="B831" s="28"/>
    </row>
    <row r="832" spans="2:2" hidden="1" x14ac:dyDescent="0.25">
      <c r="B832" s="28"/>
    </row>
    <row r="833" spans="2:2" hidden="1" x14ac:dyDescent="0.25">
      <c r="B833" s="28"/>
    </row>
    <row r="834" spans="2:2" hidden="1" x14ac:dyDescent="0.25">
      <c r="B834" s="28"/>
    </row>
    <row r="835" spans="2:2" hidden="1" x14ac:dyDescent="0.25">
      <c r="B835" s="28"/>
    </row>
    <row r="836" spans="2:2" hidden="1" x14ac:dyDescent="0.25">
      <c r="B836" s="28"/>
    </row>
    <row r="837" spans="2:2" hidden="1" x14ac:dyDescent="0.25">
      <c r="B837" s="28"/>
    </row>
    <row r="838" spans="2:2" hidden="1" x14ac:dyDescent="0.25">
      <c r="B838" s="28"/>
    </row>
    <row r="839" spans="2:2" hidden="1" x14ac:dyDescent="0.25">
      <c r="B839" s="28"/>
    </row>
    <row r="840" spans="2:2" hidden="1" x14ac:dyDescent="0.25">
      <c r="B840" s="28"/>
    </row>
    <row r="841" spans="2:2" hidden="1" x14ac:dyDescent="0.25">
      <c r="B841" s="28"/>
    </row>
    <row r="842" spans="2:2" hidden="1" x14ac:dyDescent="0.25">
      <c r="B842" s="28"/>
    </row>
    <row r="843" spans="2:2" hidden="1" x14ac:dyDescent="0.25">
      <c r="B843" s="28"/>
    </row>
    <row r="844" spans="2:2" hidden="1" x14ac:dyDescent="0.25">
      <c r="B844" s="28"/>
    </row>
    <row r="845" spans="2:2" hidden="1" x14ac:dyDescent="0.25">
      <c r="B845" s="28"/>
    </row>
    <row r="846" spans="2:2" hidden="1" x14ac:dyDescent="0.25">
      <c r="B846" s="28"/>
    </row>
    <row r="847" spans="2:2" hidden="1" x14ac:dyDescent="0.25">
      <c r="B847" s="28"/>
    </row>
    <row r="848" spans="2:2" hidden="1" x14ac:dyDescent="0.25">
      <c r="B848" s="28"/>
    </row>
    <row r="849" spans="2:2" hidden="1" x14ac:dyDescent="0.25">
      <c r="B849" s="28"/>
    </row>
    <row r="850" spans="2:2" hidden="1" x14ac:dyDescent="0.25">
      <c r="B850" s="28"/>
    </row>
    <row r="851" spans="2:2" hidden="1" x14ac:dyDescent="0.25">
      <c r="B851" s="28"/>
    </row>
    <row r="852" spans="2:2" hidden="1" x14ac:dyDescent="0.25">
      <c r="B852" s="28"/>
    </row>
    <row r="853" spans="2:2" hidden="1" x14ac:dyDescent="0.25">
      <c r="B853" s="28"/>
    </row>
    <row r="854" spans="2:2" hidden="1" x14ac:dyDescent="0.25">
      <c r="B854" s="28"/>
    </row>
    <row r="855" spans="2:2" hidden="1" x14ac:dyDescent="0.25">
      <c r="B855" s="28"/>
    </row>
    <row r="856" spans="2:2" hidden="1" x14ac:dyDescent="0.25">
      <c r="B856" s="28"/>
    </row>
    <row r="857" spans="2:2" hidden="1" x14ac:dyDescent="0.25">
      <c r="B857" s="28"/>
    </row>
    <row r="858" spans="2:2" hidden="1" x14ac:dyDescent="0.25">
      <c r="B858" s="28"/>
    </row>
    <row r="859" spans="2:2" hidden="1" x14ac:dyDescent="0.25">
      <c r="B859" s="28"/>
    </row>
    <row r="860" spans="2:2" hidden="1" x14ac:dyDescent="0.25">
      <c r="B860" s="28"/>
    </row>
    <row r="861" spans="2:2" hidden="1" x14ac:dyDescent="0.25">
      <c r="B861" s="28"/>
    </row>
    <row r="862" spans="2:2" hidden="1" x14ac:dyDescent="0.25">
      <c r="B862" s="28"/>
    </row>
    <row r="863" spans="2:2" hidden="1" x14ac:dyDescent="0.25">
      <c r="B863" s="28"/>
    </row>
    <row r="864" spans="2:2" hidden="1" x14ac:dyDescent="0.25">
      <c r="B864" s="28"/>
    </row>
    <row r="865" spans="2:2" hidden="1" x14ac:dyDescent="0.25">
      <c r="B865" s="28"/>
    </row>
    <row r="866" spans="2:2" hidden="1" x14ac:dyDescent="0.25">
      <c r="B866" s="28"/>
    </row>
    <row r="867" spans="2:2" hidden="1" x14ac:dyDescent="0.25">
      <c r="B867" s="28"/>
    </row>
    <row r="868" spans="2:2" hidden="1" x14ac:dyDescent="0.25">
      <c r="B868" s="28"/>
    </row>
    <row r="869" spans="2:2" hidden="1" x14ac:dyDescent="0.25">
      <c r="B869" s="28"/>
    </row>
    <row r="870" spans="2:2" hidden="1" x14ac:dyDescent="0.25">
      <c r="B870" s="28"/>
    </row>
    <row r="871" spans="2:2" hidden="1" x14ac:dyDescent="0.25">
      <c r="B871" s="28"/>
    </row>
    <row r="872" spans="2:2" hidden="1" x14ac:dyDescent="0.25">
      <c r="B872" s="28"/>
    </row>
    <row r="873" spans="2:2" hidden="1" x14ac:dyDescent="0.25">
      <c r="B873" s="28"/>
    </row>
    <row r="874" spans="2:2" hidden="1" x14ac:dyDescent="0.25">
      <c r="B874" s="28"/>
    </row>
    <row r="875" spans="2:2" hidden="1" x14ac:dyDescent="0.25">
      <c r="B875" s="28"/>
    </row>
    <row r="876" spans="2:2" hidden="1" x14ac:dyDescent="0.25">
      <c r="B876" s="28"/>
    </row>
    <row r="877" spans="2:2" hidden="1" x14ac:dyDescent="0.25">
      <c r="B877" s="28"/>
    </row>
    <row r="878" spans="2:2" hidden="1" x14ac:dyDescent="0.25">
      <c r="B878" s="28"/>
    </row>
    <row r="879" spans="2:2" hidden="1" x14ac:dyDescent="0.25">
      <c r="B879" s="28"/>
    </row>
    <row r="880" spans="2:2" hidden="1" x14ac:dyDescent="0.25">
      <c r="B880" s="28"/>
    </row>
    <row r="881" spans="2:2" hidden="1" x14ac:dyDescent="0.25">
      <c r="B881" s="28"/>
    </row>
    <row r="882" spans="2:2" hidden="1" x14ac:dyDescent="0.25">
      <c r="B882" s="28"/>
    </row>
    <row r="883" spans="2:2" hidden="1" x14ac:dyDescent="0.25">
      <c r="B883" s="28"/>
    </row>
    <row r="884" spans="2:2" hidden="1" x14ac:dyDescent="0.25">
      <c r="B884" s="28"/>
    </row>
    <row r="885" spans="2:2" hidden="1" x14ac:dyDescent="0.25">
      <c r="B885" s="28"/>
    </row>
    <row r="886" spans="2:2" hidden="1" x14ac:dyDescent="0.25">
      <c r="B886" s="28"/>
    </row>
    <row r="887" spans="2:2" hidden="1" x14ac:dyDescent="0.25">
      <c r="B887" s="28"/>
    </row>
    <row r="888" spans="2:2" hidden="1" x14ac:dyDescent="0.25">
      <c r="B888" s="28"/>
    </row>
    <row r="889" spans="2:2" hidden="1" x14ac:dyDescent="0.25">
      <c r="B889" s="28"/>
    </row>
    <row r="890" spans="2:2" hidden="1" x14ac:dyDescent="0.25">
      <c r="B890" s="28"/>
    </row>
    <row r="891" spans="2:2" hidden="1" x14ac:dyDescent="0.25">
      <c r="B891" s="28"/>
    </row>
    <row r="892" spans="2:2" hidden="1" x14ac:dyDescent="0.25">
      <c r="B892" s="28"/>
    </row>
    <row r="893" spans="2:2" hidden="1" x14ac:dyDescent="0.25">
      <c r="B893" s="28"/>
    </row>
    <row r="894" spans="2:2" hidden="1" x14ac:dyDescent="0.25">
      <c r="B894" s="28"/>
    </row>
    <row r="895" spans="2:2" hidden="1" x14ac:dyDescent="0.25">
      <c r="B895" s="28"/>
    </row>
    <row r="896" spans="2:2" hidden="1" x14ac:dyDescent="0.25">
      <c r="B896" s="28"/>
    </row>
    <row r="897" spans="2:2" hidden="1" x14ac:dyDescent="0.25">
      <c r="B897" s="28"/>
    </row>
    <row r="898" spans="2:2" hidden="1" x14ac:dyDescent="0.25">
      <c r="B898" s="28"/>
    </row>
    <row r="899" spans="2:2" hidden="1" x14ac:dyDescent="0.25">
      <c r="B899" s="28"/>
    </row>
    <row r="900" spans="2:2" hidden="1" x14ac:dyDescent="0.25">
      <c r="B900" s="28"/>
    </row>
    <row r="901" spans="2:2" hidden="1" x14ac:dyDescent="0.25">
      <c r="B901" s="28"/>
    </row>
    <row r="902" spans="2:2" hidden="1" x14ac:dyDescent="0.25">
      <c r="B902" s="28"/>
    </row>
    <row r="903" spans="2:2" hidden="1" x14ac:dyDescent="0.25">
      <c r="B903" s="28"/>
    </row>
    <row r="904" spans="2:2" hidden="1" x14ac:dyDescent="0.25">
      <c r="B904" s="28"/>
    </row>
    <row r="905" spans="2:2" hidden="1" x14ac:dyDescent="0.25">
      <c r="B905" s="28"/>
    </row>
    <row r="906" spans="2:2" hidden="1" x14ac:dyDescent="0.25">
      <c r="B906" s="28"/>
    </row>
    <row r="907" spans="2:2" hidden="1" x14ac:dyDescent="0.25">
      <c r="B907" s="28"/>
    </row>
    <row r="908" spans="2:2" hidden="1" x14ac:dyDescent="0.25">
      <c r="B908" s="28"/>
    </row>
    <row r="909" spans="2:2" hidden="1" x14ac:dyDescent="0.25">
      <c r="B909" s="28"/>
    </row>
    <row r="910" spans="2:2" hidden="1" x14ac:dyDescent="0.25">
      <c r="B910" s="28"/>
    </row>
    <row r="911" spans="2:2" hidden="1" x14ac:dyDescent="0.25">
      <c r="B911" s="28"/>
    </row>
    <row r="912" spans="2:2" hidden="1" x14ac:dyDescent="0.25">
      <c r="B912" s="28"/>
    </row>
    <row r="913" spans="2:2" hidden="1" x14ac:dyDescent="0.25">
      <c r="B913" s="28"/>
    </row>
    <row r="914" spans="2:2" hidden="1" x14ac:dyDescent="0.25">
      <c r="B914" s="28"/>
    </row>
    <row r="915" spans="2:2" hidden="1" x14ac:dyDescent="0.25">
      <c r="B915" s="28"/>
    </row>
    <row r="916" spans="2:2" hidden="1" x14ac:dyDescent="0.25">
      <c r="B916" s="28"/>
    </row>
    <row r="917" spans="2:2" hidden="1" x14ac:dyDescent="0.25">
      <c r="B917" s="28"/>
    </row>
    <row r="918" spans="2:2" hidden="1" x14ac:dyDescent="0.25">
      <c r="B918" s="28"/>
    </row>
    <row r="919" spans="2:2" hidden="1" x14ac:dyDescent="0.25">
      <c r="B919" s="28"/>
    </row>
    <row r="920" spans="2:2" hidden="1" x14ac:dyDescent="0.25">
      <c r="B920" s="28"/>
    </row>
    <row r="921" spans="2:2" hidden="1" x14ac:dyDescent="0.25">
      <c r="B921" s="28"/>
    </row>
    <row r="922" spans="2:2" hidden="1" x14ac:dyDescent="0.25">
      <c r="B922" s="28"/>
    </row>
    <row r="923" spans="2:2" hidden="1" x14ac:dyDescent="0.25">
      <c r="B923" s="28"/>
    </row>
    <row r="924" spans="2:2" hidden="1" x14ac:dyDescent="0.25">
      <c r="B924" s="28"/>
    </row>
    <row r="925" spans="2:2" hidden="1" x14ac:dyDescent="0.25">
      <c r="B925" s="28"/>
    </row>
    <row r="926" spans="2:2" hidden="1" x14ac:dyDescent="0.25">
      <c r="B926" s="28"/>
    </row>
    <row r="927" spans="2:2" hidden="1" x14ac:dyDescent="0.25">
      <c r="B927" s="28"/>
    </row>
    <row r="928" spans="2:2" hidden="1" x14ac:dyDescent="0.25">
      <c r="B928" s="28"/>
    </row>
    <row r="929" spans="2:2" hidden="1" x14ac:dyDescent="0.25">
      <c r="B929" s="28"/>
    </row>
    <row r="930" spans="2:2" hidden="1" x14ac:dyDescent="0.25">
      <c r="B930" s="28"/>
    </row>
    <row r="931" spans="2:2" hidden="1" x14ac:dyDescent="0.25">
      <c r="B931" s="28"/>
    </row>
    <row r="932" spans="2:2" hidden="1" x14ac:dyDescent="0.25">
      <c r="B932" s="28"/>
    </row>
    <row r="933" spans="2:2" hidden="1" x14ac:dyDescent="0.25">
      <c r="B933" s="28"/>
    </row>
    <row r="934" spans="2:2" hidden="1" x14ac:dyDescent="0.25">
      <c r="B934" s="28"/>
    </row>
    <row r="935" spans="2:2" hidden="1" x14ac:dyDescent="0.25">
      <c r="B935" s="28"/>
    </row>
    <row r="936" spans="2:2" hidden="1" x14ac:dyDescent="0.25">
      <c r="B936" s="28"/>
    </row>
    <row r="937" spans="2:2" hidden="1" x14ac:dyDescent="0.25">
      <c r="B937" s="28"/>
    </row>
    <row r="938" spans="2:2" hidden="1" x14ac:dyDescent="0.25">
      <c r="B938" s="28"/>
    </row>
    <row r="939" spans="2:2" hidden="1" x14ac:dyDescent="0.25">
      <c r="B939" s="28"/>
    </row>
    <row r="940" spans="2:2" hidden="1" x14ac:dyDescent="0.25">
      <c r="B940" s="28"/>
    </row>
    <row r="941" spans="2:2" hidden="1" x14ac:dyDescent="0.25">
      <c r="B941" s="28"/>
    </row>
    <row r="942" spans="2:2" hidden="1" x14ac:dyDescent="0.25">
      <c r="B942" s="28"/>
    </row>
    <row r="943" spans="2:2" hidden="1" x14ac:dyDescent="0.25">
      <c r="B943" s="28"/>
    </row>
    <row r="944" spans="2:2" hidden="1" x14ac:dyDescent="0.25">
      <c r="B944" s="28"/>
    </row>
    <row r="945" spans="2:2" hidden="1" x14ac:dyDescent="0.25">
      <c r="B945" s="28"/>
    </row>
    <row r="946" spans="2:2" hidden="1" x14ac:dyDescent="0.25">
      <c r="B946" s="28"/>
    </row>
    <row r="947" spans="2:2" hidden="1" x14ac:dyDescent="0.25">
      <c r="B947" s="28"/>
    </row>
    <row r="948" spans="2:2" hidden="1" x14ac:dyDescent="0.25">
      <c r="B948" s="28"/>
    </row>
    <row r="949" spans="2:2" hidden="1" x14ac:dyDescent="0.25">
      <c r="B949" s="28"/>
    </row>
    <row r="950" spans="2:2" hidden="1" x14ac:dyDescent="0.25">
      <c r="B950" s="28"/>
    </row>
    <row r="951" spans="2:2" hidden="1" x14ac:dyDescent="0.25">
      <c r="B951" s="28"/>
    </row>
    <row r="952" spans="2:2" hidden="1" x14ac:dyDescent="0.25">
      <c r="B952" s="28"/>
    </row>
    <row r="953" spans="2:2" hidden="1" x14ac:dyDescent="0.25">
      <c r="B953" s="28"/>
    </row>
    <row r="954" spans="2:2" hidden="1" x14ac:dyDescent="0.25">
      <c r="B954" s="28"/>
    </row>
    <row r="955" spans="2:2" hidden="1" x14ac:dyDescent="0.25">
      <c r="B955" s="28"/>
    </row>
    <row r="956" spans="2:2" hidden="1" x14ac:dyDescent="0.25">
      <c r="B956" s="28"/>
    </row>
    <row r="957" spans="2:2" hidden="1" x14ac:dyDescent="0.25">
      <c r="B957" s="28"/>
    </row>
    <row r="958" spans="2:2" hidden="1" x14ac:dyDescent="0.25">
      <c r="B958" s="28"/>
    </row>
    <row r="959" spans="2:2" hidden="1" x14ac:dyDescent="0.25">
      <c r="B959" s="28"/>
    </row>
    <row r="960" spans="2:2" hidden="1" x14ac:dyDescent="0.25">
      <c r="B960" s="28"/>
    </row>
    <row r="961" spans="2:2" hidden="1" x14ac:dyDescent="0.25">
      <c r="B961" s="28"/>
    </row>
    <row r="962" spans="2:2" hidden="1" x14ac:dyDescent="0.25">
      <c r="B962" s="28"/>
    </row>
    <row r="963" spans="2:2" hidden="1" x14ac:dyDescent="0.25">
      <c r="B963" s="28"/>
    </row>
    <row r="964" spans="2:2" hidden="1" x14ac:dyDescent="0.25">
      <c r="B964" s="28"/>
    </row>
    <row r="965" spans="2:2" hidden="1" x14ac:dyDescent="0.25">
      <c r="B965" s="28"/>
    </row>
    <row r="966" spans="2:2" hidden="1" x14ac:dyDescent="0.25">
      <c r="B966" s="28"/>
    </row>
    <row r="967" spans="2:2" hidden="1" x14ac:dyDescent="0.25">
      <c r="B967" s="28"/>
    </row>
    <row r="968" spans="2:2" hidden="1" x14ac:dyDescent="0.25">
      <c r="B968" s="28"/>
    </row>
    <row r="969" spans="2:2" hidden="1" x14ac:dyDescent="0.25">
      <c r="B969" s="28"/>
    </row>
    <row r="970" spans="2:2" hidden="1" x14ac:dyDescent="0.25">
      <c r="B970" s="28"/>
    </row>
    <row r="971" spans="2:2" hidden="1" x14ac:dyDescent="0.25">
      <c r="B971" s="28"/>
    </row>
    <row r="972" spans="2:2" hidden="1" x14ac:dyDescent="0.25">
      <c r="B972" s="28"/>
    </row>
    <row r="973" spans="2:2" hidden="1" x14ac:dyDescent="0.25">
      <c r="B973" s="28"/>
    </row>
    <row r="974" spans="2:2" hidden="1" x14ac:dyDescent="0.25">
      <c r="B974" s="28"/>
    </row>
    <row r="975" spans="2:2" hidden="1" x14ac:dyDescent="0.25">
      <c r="B975" s="28"/>
    </row>
    <row r="976" spans="2:2" hidden="1" x14ac:dyDescent="0.25">
      <c r="B976" s="28"/>
    </row>
    <row r="977" spans="2:2" hidden="1" x14ac:dyDescent="0.25">
      <c r="B977" s="28"/>
    </row>
    <row r="978" spans="2:2" hidden="1" x14ac:dyDescent="0.25">
      <c r="B978" s="28"/>
    </row>
    <row r="979" spans="2:2" hidden="1" x14ac:dyDescent="0.25">
      <c r="B979" s="28"/>
    </row>
    <row r="980" spans="2:2" hidden="1" x14ac:dyDescent="0.25">
      <c r="B980" s="28"/>
    </row>
    <row r="981" spans="2:2" hidden="1" x14ac:dyDescent="0.25">
      <c r="B981" s="28"/>
    </row>
    <row r="982" spans="2:2" hidden="1" x14ac:dyDescent="0.25">
      <c r="B982" s="28"/>
    </row>
    <row r="983" spans="2:2" hidden="1" x14ac:dyDescent="0.25">
      <c r="B983" s="28"/>
    </row>
    <row r="984" spans="2:2" hidden="1" x14ac:dyDescent="0.25">
      <c r="B984" s="28"/>
    </row>
    <row r="985" spans="2:2" hidden="1" x14ac:dyDescent="0.25">
      <c r="B985" s="28"/>
    </row>
    <row r="986" spans="2:2" hidden="1" x14ac:dyDescent="0.25">
      <c r="B986" s="28"/>
    </row>
    <row r="987" spans="2:2" hidden="1" x14ac:dyDescent="0.25">
      <c r="B987" s="28"/>
    </row>
    <row r="988" spans="2:2" hidden="1" x14ac:dyDescent="0.25">
      <c r="B988" s="28"/>
    </row>
    <row r="989" spans="2:2" hidden="1" x14ac:dyDescent="0.25">
      <c r="B989" s="28"/>
    </row>
    <row r="990" spans="2:2" hidden="1" x14ac:dyDescent="0.25">
      <c r="B990" s="28"/>
    </row>
    <row r="991" spans="2:2" hidden="1" x14ac:dyDescent="0.25">
      <c r="B991" s="28"/>
    </row>
    <row r="992" spans="2:2" hidden="1" x14ac:dyDescent="0.25">
      <c r="B992" s="28"/>
    </row>
    <row r="993" spans="2:2" hidden="1" x14ac:dyDescent="0.25">
      <c r="B993" s="28"/>
    </row>
  </sheetData>
  <autoFilter ref="B1:B993" xr:uid="{0E0BFEE5-0A26-42DB-8991-A47F5E784AE5}">
    <filterColumn colId="0">
      <filters>
        <filter val="H' Bai Hmo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COI_CHAM_THI_TN</vt:lpstr>
      <vt:lpstr>COI_CHAM_HK1</vt:lpstr>
      <vt:lpstr>COI_CHAM_HK2</vt:lpstr>
      <vt:lpstr>HOC_TAP_DN</vt:lpstr>
      <vt:lpstr>NGAN_HANG_DE</vt:lpstr>
      <vt:lpstr>DS_GIAOVIEN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Hai</dc:creator>
  <cp:lastModifiedBy>Vu Hai</cp:lastModifiedBy>
  <dcterms:created xsi:type="dcterms:W3CDTF">2025-11-08T09:45:40Z</dcterms:created>
  <dcterms:modified xsi:type="dcterms:W3CDTF">2025-11-10T03:43:15Z</dcterms:modified>
</cp:coreProperties>
</file>