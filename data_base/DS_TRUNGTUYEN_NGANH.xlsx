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k\Downloads\ke-khai-gio-day-app-master\data_base\"/>
    </mc:Choice>
  </mc:AlternateContent>
  <xr:revisionPtr revIDLastSave="0" documentId="13_ncr:1_{9F1663B5-2098-435B-A895-59290389D90E}" xr6:coauthVersionLast="47" xr6:coauthVersionMax="47" xr10:uidLastSave="{00000000-0000-0000-0000-000000000000}"/>
  <bookViews>
    <workbookView xWindow="-120" yWindow="-120" windowWidth="29040" windowHeight="15720" xr2:uid="{EC0DE998-68CE-4C32-89E0-B80CB8F15184}"/>
  </bookViews>
  <sheets>
    <sheet name="DS_TRUNGTUYEN_NGA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1" l="1"/>
  <c r="T20" i="1" s="1"/>
  <c r="O20" i="1"/>
  <c r="S19" i="1"/>
  <c r="O19" i="1"/>
  <c r="T19" i="1" s="1"/>
  <c r="O18" i="1"/>
  <c r="T18" i="1" s="1"/>
  <c r="S17" i="1"/>
  <c r="O17" i="1"/>
  <c r="T17" i="1" s="1"/>
  <c r="S16" i="1"/>
  <c r="O16" i="1"/>
  <c r="T16" i="1" s="1"/>
  <c r="S15" i="1"/>
  <c r="O15" i="1"/>
  <c r="T15" i="1" s="1"/>
  <c r="O13" i="1"/>
  <c r="T13" i="1" s="1"/>
  <c r="O12" i="1"/>
  <c r="T12" i="1" s="1"/>
  <c r="S11" i="1"/>
  <c r="O11" i="1"/>
  <c r="T11" i="1" s="1"/>
  <c r="A8" i="1"/>
  <c r="A7" i="1"/>
  <c r="A6" i="1"/>
</calcChain>
</file>

<file path=xl/sharedStrings.xml><?xml version="1.0" encoding="utf-8"?>
<sst xmlns="http://schemas.openxmlformats.org/spreadsheetml/2006/main" count="182" uniqueCount="131">
  <si>
    <t>UBND TỈNH ĐẮK LẮK</t>
  </si>
  <si>
    <t xml:space="preserve">                  CỘNG HÒA XÃ HỘI CHỦ NGHĨA VIỆT NAM</t>
  </si>
  <si>
    <t xml:space="preserve">TRƯỜNG CAO ĐẲNG ĐẮK LẮK </t>
  </si>
  <si>
    <t xml:space="preserve">                   </t>
  </si>
  <si>
    <r>
      <t xml:space="preserve">  </t>
    </r>
    <r>
      <rPr>
        <b/>
        <u/>
        <sz val="13"/>
        <color theme="1"/>
        <rFont val="Times New Roman"/>
        <family val="1"/>
      </rPr>
      <t>Độc lập - Tự do - Hạnh phúc</t>
    </r>
  </si>
  <si>
    <t>MAY THỜI TRANG</t>
  </si>
  <si>
    <t>CAO ĐẲNG</t>
  </si>
  <si>
    <t>STT</t>
  </si>
  <si>
    <t xml:space="preserve">Họ và </t>
  </si>
  <si>
    <t>Tên</t>
  </si>
  <si>
    <t>Ngày sinh</t>
  </si>
  <si>
    <t>Giới tính</t>
  </si>
  <si>
    <t>Nơi sinh</t>
  </si>
  <si>
    <t xml:space="preserve">Nguyên Quán </t>
  </si>
  <si>
    <t>Dân tộc</t>
  </si>
  <si>
    <t>Tôn giáo</t>
  </si>
  <si>
    <t>Thôn/Buôn</t>
  </si>
  <si>
    <t>Phường/Xã</t>
  </si>
  <si>
    <t>Tỉnh/TP</t>
  </si>
  <si>
    <t xml:space="preserve">Điểm
 môn Toán </t>
  </si>
  <si>
    <t xml:space="preserve">Điểm
 môn Văn </t>
  </si>
  <si>
    <t>Ưu tiên theo đối tượng</t>
  </si>
  <si>
    <t>Ưu tiên theo khu vực</t>
  </si>
  <si>
    <t>Tổng điểm Ư.T</t>
  </si>
  <si>
    <t>Tổng điểm</t>
  </si>
  <si>
    <t>Hạnh kiểm lớp 12</t>
  </si>
  <si>
    <t>Năm tốt nghiệp</t>
  </si>
  <si>
    <t>Số điện thoại</t>
  </si>
  <si>
    <t>Cha</t>
  </si>
  <si>
    <t>Mẹ</t>
  </si>
  <si>
    <t>Ghi chú</t>
  </si>
  <si>
    <t xml:space="preserve">Điểm Ư.T 1 </t>
  </si>
  <si>
    <t xml:space="preserve">Điểm Ư.T 2 </t>
  </si>
  <si>
    <t xml:space="preserve">Triệu Thị Bích </t>
  </si>
  <si>
    <t>Nhâm</t>
  </si>
  <si>
    <t>22/12/2007</t>
  </si>
  <si>
    <t>Nữ</t>
  </si>
  <si>
    <t>Đắk Lắk</t>
  </si>
  <si>
    <t>Cao Bằng</t>
  </si>
  <si>
    <t>Kinh</t>
  </si>
  <si>
    <t>Không</t>
  </si>
  <si>
    <t>Ea Chiêu</t>
  </si>
  <si>
    <t>Dliêya</t>
  </si>
  <si>
    <t>Tốt</t>
  </si>
  <si>
    <t>0963897610</t>
  </si>
  <si>
    <t>Triệu Văn Vịnh</t>
  </si>
  <si>
    <t>Hoàng Thị Lê</t>
  </si>
  <si>
    <t xml:space="preserve">Trịnh Thu </t>
  </si>
  <si>
    <t>Thuý</t>
  </si>
  <si>
    <t>07/08/2001</t>
  </si>
  <si>
    <t>Đắk Nông</t>
  </si>
  <si>
    <t xml:space="preserve">Lâm Đồng </t>
  </si>
  <si>
    <t xml:space="preserve">Không </t>
  </si>
  <si>
    <t>Thôn 4</t>
  </si>
  <si>
    <t>Đắk Mil</t>
  </si>
  <si>
    <t>0865871150</t>
  </si>
  <si>
    <t xml:space="preserve">Trịnh Phòng </t>
  </si>
  <si>
    <t>Đinh Thị Thu</t>
  </si>
  <si>
    <t xml:space="preserve">Nguyễn Thị Thuỳ </t>
  </si>
  <si>
    <t>Trang</t>
  </si>
  <si>
    <t>14/06/2007</t>
  </si>
  <si>
    <t xml:space="preserve">Hà Tĩnh </t>
  </si>
  <si>
    <t>Thôn 7b</t>
  </si>
  <si>
    <t>Ea Ô</t>
  </si>
  <si>
    <t>0866487663</t>
  </si>
  <si>
    <t>Nguyễn Văn Tuấn</t>
  </si>
  <si>
    <t xml:space="preserve">Chu Thị Tình </t>
  </si>
  <si>
    <t xml:space="preserve">Phạm Hoàng </t>
  </si>
  <si>
    <t>Quyên</t>
  </si>
  <si>
    <t>18/07/2007</t>
  </si>
  <si>
    <t xml:space="preserve">Thái Bình </t>
  </si>
  <si>
    <t>Buôn Đung</t>
  </si>
  <si>
    <t>Đắk Phơi</t>
  </si>
  <si>
    <t>0916000087</t>
  </si>
  <si>
    <t>TN TCN</t>
  </si>
  <si>
    <t xml:space="preserve">Vàng Thị </t>
  </si>
  <si>
    <t>Lang</t>
  </si>
  <si>
    <t>26/07/2007</t>
  </si>
  <si>
    <t>Hà Giang</t>
  </si>
  <si>
    <t>H' Mông</t>
  </si>
  <si>
    <t>Buôn Ea Rớt</t>
  </si>
  <si>
    <t>Cư Pui</t>
  </si>
  <si>
    <t>0373446358</t>
  </si>
  <si>
    <t>Vàng Seo Sà</t>
  </si>
  <si>
    <t>Lò Thị Dia</t>
  </si>
  <si>
    <t xml:space="preserve">Vũ Thị Thanh </t>
  </si>
  <si>
    <t>Như</t>
  </si>
  <si>
    <t>18/07/2006</t>
  </si>
  <si>
    <t>Nam Định</t>
  </si>
  <si>
    <t>Hoà Thuận</t>
  </si>
  <si>
    <t>0393065966</t>
  </si>
  <si>
    <t>Vũ Viết Thìn</t>
  </si>
  <si>
    <t>Phạm Thị Tuyết Trinh</t>
  </si>
  <si>
    <t xml:space="preserve">Lê Hoàng Bạch </t>
  </si>
  <si>
    <t>Dương</t>
  </si>
  <si>
    <t>07/09/2007</t>
  </si>
  <si>
    <t>Thừa Thiên Huế</t>
  </si>
  <si>
    <t xml:space="preserve">thôn Giang Hoà </t>
  </si>
  <si>
    <t>Tam Giang</t>
  </si>
  <si>
    <t>0773531393</t>
  </si>
  <si>
    <t>Lê Công Cường</t>
  </si>
  <si>
    <t>Hoàng Thị Bích liên</t>
  </si>
  <si>
    <t xml:space="preserve">Vũ Thị Ngọc </t>
  </si>
  <si>
    <t>Trâm</t>
  </si>
  <si>
    <t>30/8//1993</t>
  </si>
  <si>
    <t>Bắc Ninh</t>
  </si>
  <si>
    <t xml:space="preserve">TDP 4 </t>
  </si>
  <si>
    <t xml:space="preserve">Thành Nhất </t>
  </si>
  <si>
    <t>0386060171</t>
  </si>
  <si>
    <t>Nguyễn Quang Trữ</t>
  </si>
  <si>
    <t>Nguyễn Thị Lưu</t>
  </si>
  <si>
    <t xml:space="preserve">Hầu Thị Thanh </t>
  </si>
  <si>
    <t>Mai</t>
  </si>
  <si>
    <t>22/12/2001</t>
  </si>
  <si>
    <t xml:space="preserve">Đắk Nông </t>
  </si>
  <si>
    <t>Mông</t>
  </si>
  <si>
    <t xml:space="preserve">T. Năm Tầng </t>
  </si>
  <si>
    <t>Đắk Rla</t>
  </si>
  <si>
    <t>0769560316</t>
  </si>
  <si>
    <t xml:space="preserve">Hầu Minh Bó </t>
  </si>
  <si>
    <t xml:space="preserve">Lầu Thị Dương </t>
  </si>
  <si>
    <t xml:space="preserve">Bàn Thị </t>
  </si>
  <si>
    <t xml:space="preserve">Hiền </t>
  </si>
  <si>
    <t>02/01/2006</t>
  </si>
  <si>
    <t>Bắc Kạn</t>
  </si>
  <si>
    <t>Dao</t>
  </si>
  <si>
    <t>Tiểu khu 249</t>
  </si>
  <si>
    <t>Ea Súp</t>
  </si>
  <si>
    <t>Bùi Văn Sinh</t>
  </si>
  <si>
    <t>Lý Thị Lạ</t>
  </si>
  <si>
    <t xml:space="preserve">Tổng điểm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</si>
</sst>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6" formatCode="0.00;\-0.00;;@"/>
    <numFmt numFmtId="167" formatCode="0.0;\-0.0;;@"/>
  </numFmts>
  <fonts count="10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sz val="13"/>
      <color theme="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b/>
      <sz val="13"/>
      <name val="Times New Roman"/>
      <family val="1"/>
      <charset val="163"/>
    </font>
    <font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6" fillId="2" borderId="0" xfId="0" applyFont="1" applyFill="1"/>
    <xf numFmtId="164" fontId="8" fillId="3" borderId="2" xfId="0" applyNumberFormat="1" applyFont="1" applyFill="1" applyBorder="1" applyAlignment="1">
      <alignment horizontal="center" vertical="center" wrapText="1"/>
    </xf>
    <xf numFmtId="4" fontId="8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  <xf numFmtId="49" fontId="8" fillId="3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8" fillId="3" borderId="7" xfId="0" applyNumberFormat="1" applyFont="1" applyFill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64" fontId="6" fillId="3" borderId="6" xfId="0" applyNumberFormat="1" applyFont="1" applyFill="1" applyBorder="1" applyAlignment="1">
      <alignment horizontal="center" vertical="center" wrapText="1"/>
    </xf>
    <xf numFmtId="166" fontId="6" fillId="2" borderId="2" xfId="0" applyNumberFormat="1" applyFont="1" applyFill="1" applyBorder="1" applyAlignment="1">
      <alignment horizontal="center" vertical="center"/>
    </xf>
    <xf numFmtId="167" fontId="6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2</xdr:row>
      <xdr:rowOff>19050</xdr:rowOff>
    </xdr:from>
    <xdr:to>
      <xdr:col>2</xdr:col>
      <xdr:colOff>904875</xdr:colOff>
      <xdr:row>2</xdr:row>
      <xdr:rowOff>19050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E54AF01F-EE62-47C4-8B71-AC93F2C7A47A}"/>
            </a:ext>
          </a:extLst>
        </xdr:cNvPr>
        <xdr:cNvSpPr>
          <a:spLocks noChangeShapeType="1"/>
        </xdr:cNvSpPr>
      </xdr:nvSpPr>
      <xdr:spPr bwMode="auto">
        <a:xfrm>
          <a:off x="1504950" y="457200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EBE9-5192-4BDA-A451-D8E5830B0E62}">
  <dimension ref="A1:AB21"/>
  <sheetViews>
    <sheetView tabSelected="1" workbookViewId="0">
      <selection activeCell="Z9" sqref="Z9:Z10"/>
    </sheetView>
  </sheetViews>
  <sheetFormatPr defaultColWidth="9" defaultRowHeight="16.5" x14ac:dyDescent="0.25"/>
  <cols>
    <col min="1" max="1" width="5.5" style="2" customWidth="1"/>
    <col min="2" max="2" width="18.375" style="3" customWidth="1"/>
    <col min="3" max="3" width="12.625" style="3" customWidth="1"/>
    <col min="4" max="4" width="14.625" style="16" bestFit="1" customWidth="1"/>
    <col min="5" max="5" width="9.625" style="17" customWidth="1"/>
    <col min="6" max="6" width="13.25" style="2" customWidth="1"/>
    <col min="7" max="7" width="16.75" style="2" hidden="1" customWidth="1"/>
    <col min="8" max="8" width="13.25" style="2" customWidth="1"/>
    <col min="9" max="9" width="11.125" style="15" bestFit="1" customWidth="1"/>
    <col min="10" max="10" width="18.875" style="4" bestFit="1" customWidth="1"/>
    <col min="11" max="11" width="16.625" style="1" bestFit="1" customWidth="1"/>
    <col min="12" max="12" width="13.875" style="3" customWidth="1"/>
    <col min="13" max="14" width="6.875" style="1" customWidth="1"/>
    <col min="15" max="15" width="7" style="10" customWidth="1"/>
    <col min="16" max="16" width="6.625" style="8" customWidth="1"/>
    <col min="17" max="17" width="6.625" style="9" customWidth="1"/>
    <col min="18" max="20" width="7.625" style="10" customWidth="1"/>
    <col min="21" max="21" width="6.625" style="10" bestFit="1" customWidth="1"/>
    <col min="22" max="22" width="7.75" style="11" customWidth="1"/>
    <col min="23" max="23" width="15.75" style="12" customWidth="1"/>
    <col min="24" max="24" width="27.875" style="13" hidden="1" customWidth="1"/>
    <col min="25" max="25" width="25.25" style="14" hidden="1" customWidth="1"/>
    <col min="26" max="26" width="11.375" style="3" customWidth="1"/>
    <col min="27" max="251" width="9" style="3"/>
    <col min="252" max="252" width="6.625" style="3" customWidth="1"/>
    <col min="253" max="253" width="21.375" style="3" customWidth="1"/>
    <col min="254" max="254" width="9.375" style="3" customWidth="1"/>
    <col min="255" max="255" width="14.625" style="3" bestFit="1" customWidth="1"/>
    <col min="256" max="256" width="9.625" style="3" customWidth="1"/>
    <col min="257" max="260" width="11.75" style="3" customWidth="1"/>
    <col min="261" max="261" width="18.25" style="3" customWidth="1"/>
    <col min="262" max="264" width="11.75" style="3" customWidth="1"/>
    <col min="265" max="265" width="7.75" style="3" customWidth="1"/>
    <col min="266" max="270" width="7" style="3" customWidth="1"/>
    <col min="271" max="272" width="0" style="3" hidden="1" customWidth="1"/>
    <col min="273" max="273" width="6.875" style="3" customWidth="1"/>
    <col min="274" max="274" width="8.625" style="3" customWidth="1"/>
    <col min="275" max="277" width="0" style="3" hidden="1" customWidth="1"/>
    <col min="278" max="278" width="14.25" style="3" bestFit="1" customWidth="1"/>
    <col min="279" max="279" width="7" style="3" customWidth="1"/>
    <col min="280" max="507" width="9" style="3"/>
    <col min="508" max="508" width="6.625" style="3" customWidth="1"/>
    <col min="509" max="509" width="21.375" style="3" customWidth="1"/>
    <col min="510" max="510" width="9.375" style="3" customWidth="1"/>
    <col min="511" max="511" width="14.625" style="3" bestFit="1" customWidth="1"/>
    <col min="512" max="512" width="9.625" style="3" customWidth="1"/>
    <col min="513" max="516" width="11.75" style="3" customWidth="1"/>
    <col min="517" max="517" width="18.25" style="3" customWidth="1"/>
    <col min="518" max="520" width="11.75" style="3" customWidth="1"/>
    <col min="521" max="521" width="7.75" style="3" customWidth="1"/>
    <col min="522" max="526" width="7" style="3" customWidth="1"/>
    <col min="527" max="528" width="0" style="3" hidden="1" customWidth="1"/>
    <col min="529" max="529" width="6.875" style="3" customWidth="1"/>
    <col min="530" max="530" width="8.625" style="3" customWidth="1"/>
    <col min="531" max="533" width="0" style="3" hidden="1" customWidth="1"/>
    <col min="534" max="534" width="14.25" style="3" bestFit="1" customWidth="1"/>
    <col min="535" max="535" width="7" style="3" customWidth="1"/>
    <col min="536" max="763" width="9" style="3"/>
    <col min="764" max="764" width="6.625" style="3" customWidth="1"/>
    <col min="765" max="765" width="21.375" style="3" customWidth="1"/>
    <col min="766" max="766" width="9.375" style="3" customWidth="1"/>
    <col min="767" max="767" width="14.625" style="3" bestFit="1" customWidth="1"/>
    <col min="768" max="768" width="9.625" style="3" customWidth="1"/>
    <col min="769" max="772" width="11.75" style="3" customWidth="1"/>
    <col min="773" max="773" width="18.25" style="3" customWidth="1"/>
    <col min="774" max="776" width="11.75" style="3" customWidth="1"/>
    <col min="777" max="777" width="7.75" style="3" customWidth="1"/>
    <col min="778" max="782" width="7" style="3" customWidth="1"/>
    <col min="783" max="784" width="0" style="3" hidden="1" customWidth="1"/>
    <col min="785" max="785" width="6.875" style="3" customWidth="1"/>
    <col min="786" max="786" width="8.625" style="3" customWidth="1"/>
    <col min="787" max="789" width="0" style="3" hidden="1" customWidth="1"/>
    <col min="790" max="790" width="14.25" style="3" bestFit="1" customWidth="1"/>
    <col min="791" max="791" width="7" style="3" customWidth="1"/>
    <col min="792" max="1019" width="9" style="3"/>
    <col min="1020" max="1020" width="6.625" style="3" customWidth="1"/>
    <col min="1021" max="1021" width="21.375" style="3" customWidth="1"/>
    <col min="1022" max="1022" width="9.375" style="3" customWidth="1"/>
    <col min="1023" max="1023" width="14.625" style="3" bestFit="1" customWidth="1"/>
    <col min="1024" max="1024" width="9.625" style="3" customWidth="1"/>
    <col min="1025" max="1028" width="11.75" style="3" customWidth="1"/>
    <col min="1029" max="1029" width="18.25" style="3" customWidth="1"/>
    <col min="1030" max="1032" width="11.75" style="3" customWidth="1"/>
    <col min="1033" max="1033" width="7.75" style="3" customWidth="1"/>
    <col min="1034" max="1038" width="7" style="3" customWidth="1"/>
    <col min="1039" max="1040" width="0" style="3" hidden="1" customWidth="1"/>
    <col min="1041" max="1041" width="6.875" style="3" customWidth="1"/>
    <col min="1042" max="1042" width="8.625" style="3" customWidth="1"/>
    <col min="1043" max="1045" width="0" style="3" hidden="1" customWidth="1"/>
    <col min="1046" max="1046" width="14.25" style="3" bestFit="1" customWidth="1"/>
    <col min="1047" max="1047" width="7" style="3" customWidth="1"/>
    <col min="1048" max="1275" width="9" style="3"/>
    <col min="1276" max="1276" width="6.625" style="3" customWidth="1"/>
    <col min="1277" max="1277" width="21.375" style="3" customWidth="1"/>
    <col min="1278" max="1278" width="9.375" style="3" customWidth="1"/>
    <col min="1279" max="1279" width="14.625" style="3" bestFit="1" customWidth="1"/>
    <col min="1280" max="1280" width="9.625" style="3" customWidth="1"/>
    <col min="1281" max="1284" width="11.75" style="3" customWidth="1"/>
    <col min="1285" max="1285" width="18.25" style="3" customWidth="1"/>
    <col min="1286" max="1288" width="11.75" style="3" customWidth="1"/>
    <col min="1289" max="1289" width="7.75" style="3" customWidth="1"/>
    <col min="1290" max="1294" width="7" style="3" customWidth="1"/>
    <col min="1295" max="1296" width="0" style="3" hidden="1" customWidth="1"/>
    <col min="1297" max="1297" width="6.875" style="3" customWidth="1"/>
    <col min="1298" max="1298" width="8.625" style="3" customWidth="1"/>
    <col min="1299" max="1301" width="0" style="3" hidden="1" customWidth="1"/>
    <col min="1302" max="1302" width="14.25" style="3" bestFit="1" customWidth="1"/>
    <col min="1303" max="1303" width="7" style="3" customWidth="1"/>
    <col min="1304" max="1531" width="9" style="3"/>
    <col min="1532" max="1532" width="6.625" style="3" customWidth="1"/>
    <col min="1533" max="1533" width="21.375" style="3" customWidth="1"/>
    <col min="1534" max="1534" width="9.375" style="3" customWidth="1"/>
    <col min="1535" max="1535" width="14.625" style="3" bestFit="1" customWidth="1"/>
    <col min="1536" max="1536" width="9.625" style="3" customWidth="1"/>
    <col min="1537" max="1540" width="11.75" style="3" customWidth="1"/>
    <col min="1541" max="1541" width="18.25" style="3" customWidth="1"/>
    <col min="1542" max="1544" width="11.75" style="3" customWidth="1"/>
    <col min="1545" max="1545" width="7.75" style="3" customWidth="1"/>
    <col min="1546" max="1550" width="7" style="3" customWidth="1"/>
    <col min="1551" max="1552" width="0" style="3" hidden="1" customWidth="1"/>
    <col min="1553" max="1553" width="6.875" style="3" customWidth="1"/>
    <col min="1554" max="1554" width="8.625" style="3" customWidth="1"/>
    <col min="1555" max="1557" width="0" style="3" hidden="1" customWidth="1"/>
    <col min="1558" max="1558" width="14.25" style="3" bestFit="1" customWidth="1"/>
    <col min="1559" max="1559" width="7" style="3" customWidth="1"/>
    <col min="1560" max="1787" width="9" style="3"/>
    <col min="1788" max="1788" width="6.625" style="3" customWidth="1"/>
    <col min="1789" max="1789" width="21.375" style="3" customWidth="1"/>
    <col min="1790" max="1790" width="9.375" style="3" customWidth="1"/>
    <col min="1791" max="1791" width="14.625" style="3" bestFit="1" customWidth="1"/>
    <col min="1792" max="1792" width="9.625" style="3" customWidth="1"/>
    <col min="1793" max="1796" width="11.75" style="3" customWidth="1"/>
    <col min="1797" max="1797" width="18.25" style="3" customWidth="1"/>
    <col min="1798" max="1800" width="11.75" style="3" customWidth="1"/>
    <col min="1801" max="1801" width="7.75" style="3" customWidth="1"/>
    <col min="1802" max="1806" width="7" style="3" customWidth="1"/>
    <col min="1807" max="1808" width="0" style="3" hidden="1" customWidth="1"/>
    <col min="1809" max="1809" width="6.875" style="3" customWidth="1"/>
    <col min="1810" max="1810" width="8.625" style="3" customWidth="1"/>
    <col min="1811" max="1813" width="0" style="3" hidden="1" customWidth="1"/>
    <col min="1814" max="1814" width="14.25" style="3" bestFit="1" customWidth="1"/>
    <col min="1815" max="1815" width="7" style="3" customWidth="1"/>
    <col min="1816" max="2043" width="9" style="3"/>
    <col min="2044" max="2044" width="6.625" style="3" customWidth="1"/>
    <col min="2045" max="2045" width="21.375" style="3" customWidth="1"/>
    <col min="2046" max="2046" width="9.375" style="3" customWidth="1"/>
    <col min="2047" max="2047" width="14.625" style="3" bestFit="1" customWidth="1"/>
    <col min="2048" max="2048" width="9.625" style="3" customWidth="1"/>
    <col min="2049" max="2052" width="11.75" style="3" customWidth="1"/>
    <col min="2053" max="2053" width="18.25" style="3" customWidth="1"/>
    <col min="2054" max="2056" width="11.75" style="3" customWidth="1"/>
    <col min="2057" max="2057" width="7.75" style="3" customWidth="1"/>
    <col min="2058" max="2062" width="7" style="3" customWidth="1"/>
    <col min="2063" max="2064" width="0" style="3" hidden="1" customWidth="1"/>
    <col min="2065" max="2065" width="6.875" style="3" customWidth="1"/>
    <col min="2066" max="2066" width="8.625" style="3" customWidth="1"/>
    <col min="2067" max="2069" width="0" style="3" hidden="1" customWidth="1"/>
    <col min="2070" max="2070" width="14.25" style="3" bestFit="1" customWidth="1"/>
    <col min="2071" max="2071" width="7" style="3" customWidth="1"/>
    <col min="2072" max="2299" width="9" style="3"/>
    <col min="2300" max="2300" width="6.625" style="3" customWidth="1"/>
    <col min="2301" max="2301" width="21.375" style="3" customWidth="1"/>
    <col min="2302" max="2302" width="9.375" style="3" customWidth="1"/>
    <col min="2303" max="2303" width="14.625" style="3" bestFit="1" customWidth="1"/>
    <col min="2304" max="2304" width="9.625" style="3" customWidth="1"/>
    <col min="2305" max="2308" width="11.75" style="3" customWidth="1"/>
    <col min="2309" max="2309" width="18.25" style="3" customWidth="1"/>
    <col min="2310" max="2312" width="11.75" style="3" customWidth="1"/>
    <col min="2313" max="2313" width="7.75" style="3" customWidth="1"/>
    <col min="2314" max="2318" width="7" style="3" customWidth="1"/>
    <col min="2319" max="2320" width="0" style="3" hidden="1" customWidth="1"/>
    <col min="2321" max="2321" width="6.875" style="3" customWidth="1"/>
    <col min="2322" max="2322" width="8.625" style="3" customWidth="1"/>
    <col min="2323" max="2325" width="0" style="3" hidden="1" customWidth="1"/>
    <col min="2326" max="2326" width="14.25" style="3" bestFit="1" customWidth="1"/>
    <col min="2327" max="2327" width="7" style="3" customWidth="1"/>
    <col min="2328" max="2555" width="9" style="3"/>
    <col min="2556" max="2556" width="6.625" style="3" customWidth="1"/>
    <col min="2557" max="2557" width="21.375" style="3" customWidth="1"/>
    <col min="2558" max="2558" width="9.375" style="3" customWidth="1"/>
    <col min="2559" max="2559" width="14.625" style="3" bestFit="1" customWidth="1"/>
    <col min="2560" max="2560" width="9.625" style="3" customWidth="1"/>
    <col min="2561" max="2564" width="11.75" style="3" customWidth="1"/>
    <col min="2565" max="2565" width="18.25" style="3" customWidth="1"/>
    <col min="2566" max="2568" width="11.75" style="3" customWidth="1"/>
    <col min="2569" max="2569" width="7.75" style="3" customWidth="1"/>
    <col min="2570" max="2574" width="7" style="3" customWidth="1"/>
    <col min="2575" max="2576" width="0" style="3" hidden="1" customWidth="1"/>
    <col min="2577" max="2577" width="6.875" style="3" customWidth="1"/>
    <col min="2578" max="2578" width="8.625" style="3" customWidth="1"/>
    <col min="2579" max="2581" width="0" style="3" hidden="1" customWidth="1"/>
    <col min="2582" max="2582" width="14.25" style="3" bestFit="1" customWidth="1"/>
    <col min="2583" max="2583" width="7" style="3" customWidth="1"/>
    <col min="2584" max="2811" width="9" style="3"/>
    <col min="2812" max="2812" width="6.625" style="3" customWidth="1"/>
    <col min="2813" max="2813" width="21.375" style="3" customWidth="1"/>
    <col min="2814" max="2814" width="9.375" style="3" customWidth="1"/>
    <col min="2815" max="2815" width="14.625" style="3" bestFit="1" customWidth="1"/>
    <col min="2816" max="2816" width="9.625" style="3" customWidth="1"/>
    <col min="2817" max="2820" width="11.75" style="3" customWidth="1"/>
    <col min="2821" max="2821" width="18.25" style="3" customWidth="1"/>
    <col min="2822" max="2824" width="11.75" style="3" customWidth="1"/>
    <col min="2825" max="2825" width="7.75" style="3" customWidth="1"/>
    <col min="2826" max="2830" width="7" style="3" customWidth="1"/>
    <col min="2831" max="2832" width="0" style="3" hidden="1" customWidth="1"/>
    <col min="2833" max="2833" width="6.875" style="3" customWidth="1"/>
    <col min="2834" max="2834" width="8.625" style="3" customWidth="1"/>
    <col min="2835" max="2837" width="0" style="3" hidden="1" customWidth="1"/>
    <col min="2838" max="2838" width="14.25" style="3" bestFit="1" customWidth="1"/>
    <col min="2839" max="2839" width="7" style="3" customWidth="1"/>
    <col min="2840" max="3067" width="9" style="3"/>
    <col min="3068" max="3068" width="6.625" style="3" customWidth="1"/>
    <col min="3069" max="3069" width="21.375" style="3" customWidth="1"/>
    <col min="3070" max="3070" width="9.375" style="3" customWidth="1"/>
    <col min="3071" max="3071" width="14.625" style="3" bestFit="1" customWidth="1"/>
    <col min="3072" max="3072" width="9.625" style="3" customWidth="1"/>
    <col min="3073" max="3076" width="11.75" style="3" customWidth="1"/>
    <col min="3077" max="3077" width="18.25" style="3" customWidth="1"/>
    <col min="3078" max="3080" width="11.75" style="3" customWidth="1"/>
    <col min="3081" max="3081" width="7.75" style="3" customWidth="1"/>
    <col min="3082" max="3086" width="7" style="3" customWidth="1"/>
    <col min="3087" max="3088" width="0" style="3" hidden="1" customWidth="1"/>
    <col min="3089" max="3089" width="6.875" style="3" customWidth="1"/>
    <col min="3090" max="3090" width="8.625" style="3" customWidth="1"/>
    <col min="3091" max="3093" width="0" style="3" hidden="1" customWidth="1"/>
    <col min="3094" max="3094" width="14.25" style="3" bestFit="1" customWidth="1"/>
    <col min="3095" max="3095" width="7" style="3" customWidth="1"/>
    <col min="3096" max="3323" width="9" style="3"/>
    <col min="3324" max="3324" width="6.625" style="3" customWidth="1"/>
    <col min="3325" max="3325" width="21.375" style="3" customWidth="1"/>
    <col min="3326" max="3326" width="9.375" style="3" customWidth="1"/>
    <col min="3327" max="3327" width="14.625" style="3" bestFit="1" customWidth="1"/>
    <col min="3328" max="3328" width="9.625" style="3" customWidth="1"/>
    <col min="3329" max="3332" width="11.75" style="3" customWidth="1"/>
    <col min="3333" max="3333" width="18.25" style="3" customWidth="1"/>
    <col min="3334" max="3336" width="11.75" style="3" customWidth="1"/>
    <col min="3337" max="3337" width="7.75" style="3" customWidth="1"/>
    <col min="3338" max="3342" width="7" style="3" customWidth="1"/>
    <col min="3343" max="3344" width="0" style="3" hidden="1" customWidth="1"/>
    <col min="3345" max="3345" width="6.875" style="3" customWidth="1"/>
    <col min="3346" max="3346" width="8.625" style="3" customWidth="1"/>
    <col min="3347" max="3349" width="0" style="3" hidden="1" customWidth="1"/>
    <col min="3350" max="3350" width="14.25" style="3" bestFit="1" customWidth="1"/>
    <col min="3351" max="3351" width="7" style="3" customWidth="1"/>
    <col min="3352" max="3579" width="9" style="3"/>
    <col min="3580" max="3580" width="6.625" style="3" customWidth="1"/>
    <col min="3581" max="3581" width="21.375" style="3" customWidth="1"/>
    <col min="3582" max="3582" width="9.375" style="3" customWidth="1"/>
    <col min="3583" max="3583" width="14.625" style="3" bestFit="1" customWidth="1"/>
    <col min="3584" max="3584" width="9.625" style="3" customWidth="1"/>
    <col min="3585" max="3588" width="11.75" style="3" customWidth="1"/>
    <col min="3589" max="3589" width="18.25" style="3" customWidth="1"/>
    <col min="3590" max="3592" width="11.75" style="3" customWidth="1"/>
    <col min="3593" max="3593" width="7.75" style="3" customWidth="1"/>
    <col min="3594" max="3598" width="7" style="3" customWidth="1"/>
    <col min="3599" max="3600" width="0" style="3" hidden="1" customWidth="1"/>
    <col min="3601" max="3601" width="6.875" style="3" customWidth="1"/>
    <col min="3602" max="3602" width="8.625" style="3" customWidth="1"/>
    <col min="3603" max="3605" width="0" style="3" hidden="1" customWidth="1"/>
    <col min="3606" max="3606" width="14.25" style="3" bestFit="1" customWidth="1"/>
    <col min="3607" max="3607" width="7" style="3" customWidth="1"/>
    <col min="3608" max="3835" width="9" style="3"/>
    <col min="3836" max="3836" width="6.625" style="3" customWidth="1"/>
    <col min="3837" max="3837" width="21.375" style="3" customWidth="1"/>
    <col min="3838" max="3838" width="9.375" style="3" customWidth="1"/>
    <col min="3839" max="3839" width="14.625" style="3" bestFit="1" customWidth="1"/>
    <col min="3840" max="3840" width="9.625" style="3" customWidth="1"/>
    <col min="3841" max="3844" width="11.75" style="3" customWidth="1"/>
    <col min="3845" max="3845" width="18.25" style="3" customWidth="1"/>
    <col min="3846" max="3848" width="11.75" style="3" customWidth="1"/>
    <col min="3849" max="3849" width="7.75" style="3" customWidth="1"/>
    <col min="3850" max="3854" width="7" style="3" customWidth="1"/>
    <col min="3855" max="3856" width="0" style="3" hidden="1" customWidth="1"/>
    <col min="3857" max="3857" width="6.875" style="3" customWidth="1"/>
    <col min="3858" max="3858" width="8.625" style="3" customWidth="1"/>
    <col min="3859" max="3861" width="0" style="3" hidden="1" customWidth="1"/>
    <col min="3862" max="3862" width="14.25" style="3" bestFit="1" customWidth="1"/>
    <col min="3863" max="3863" width="7" style="3" customWidth="1"/>
    <col min="3864" max="4091" width="9" style="3"/>
    <col min="4092" max="4092" width="6.625" style="3" customWidth="1"/>
    <col min="4093" max="4093" width="21.375" style="3" customWidth="1"/>
    <col min="4094" max="4094" width="9.375" style="3" customWidth="1"/>
    <col min="4095" max="4095" width="14.625" style="3" bestFit="1" customWidth="1"/>
    <col min="4096" max="4096" width="9.625" style="3" customWidth="1"/>
    <col min="4097" max="4100" width="11.75" style="3" customWidth="1"/>
    <col min="4101" max="4101" width="18.25" style="3" customWidth="1"/>
    <col min="4102" max="4104" width="11.75" style="3" customWidth="1"/>
    <col min="4105" max="4105" width="7.75" style="3" customWidth="1"/>
    <col min="4106" max="4110" width="7" style="3" customWidth="1"/>
    <col min="4111" max="4112" width="0" style="3" hidden="1" customWidth="1"/>
    <col min="4113" max="4113" width="6.875" style="3" customWidth="1"/>
    <col min="4114" max="4114" width="8.625" style="3" customWidth="1"/>
    <col min="4115" max="4117" width="0" style="3" hidden="1" customWidth="1"/>
    <col min="4118" max="4118" width="14.25" style="3" bestFit="1" customWidth="1"/>
    <col min="4119" max="4119" width="7" style="3" customWidth="1"/>
    <col min="4120" max="4347" width="9" style="3"/>
    <col min="4348" max="4348" width="6.625" style="3" customWidth="1"/>
    <col min="4349" max="4349" width="21.375" style="3" customWidth="1"/>
    <col min="4350" max="4350" width="9.375" style="3" customWidth="1"/>
    <col min="4351" max="4351" width="14.625" style="3" bestFit="1" customWidth="1"/>
    <col min="4352" max="4352" width="9.625" style="3" customWidth="1"/>
    <col min="4353" max="4356" width="11.75" style="3" customWidth="1"/>
    <col min="4357" max="4357" width="18.25" style="3" customWidth="1"/>
    <col min="4358" max="4360" width="11.75" style="3" customWidth="1"/>
    <col min="4361" max="4361" width="7.75" style="3" customWidth="1"/>
    <col min="4362" max="4366" width="7" style="3" customWidth="1"/>
    <col min="4367" max="4368" width="0" style="3" hidden="1" customWidth="1"/>
    <col min="4369" max="4369" width="6.875" style="3" customWidth="1"/>
    <col min="4370" max="4370" width="8.625" style="3" customWidth="1"/>
    <col min="4371" max="4373" width="0" style="3" hidden="1" customWidth="1"/>
    <col min="4374" max="4374" width="14.25" style="3" bestFit="1" customWidth="1"/>
    <col min="4375" max="4375" width="7" style="3" customWidth="1"/>
    <col min="4376" max="4603" width="9" style="3"/>
    <col min="4604" max="4604" width="6.625" style="3" customWidth="1"/>
    <col min="4605" max="4605" width="21.375" style="3" customWidth="1"/>
    <col min="4606" max="4606" width="9.375" style="3" customWidth="1"/>
    <col min="4607" max="4607" width="14.625" style="3" bestFit="1" customWidth="1"/>
    <col min="4608" max="4608" width="9.625" style="3" customWidth="1"/>
    <col min="4609" max="4612" width="11.75" style="3" customWidth="1"/>
    <col min="4613" max="4613" width="18.25" style="3" customWidth="1"/>
    <col min="4614" max="4616" width="11.75" style="3" customWidth="1"/>
    <col min="4617" max="4617" width="7.75" style="3" customWidth="1"/>
    <col min="4618" max="4622" width="7" style="3" customWidth="1"/>
    <col min="4623" max="4624" width="0" style="3" hidden="1" customWidth="1"/>
    <col min="4625" max="4625" width="6.875" style="3" customWidth="1"/>
    <col min="4626" max="4626" width="8.625" style="3" customWidth="1"/>
    <col min="4627" max="4629" width="0" style="3" hidden="1" customWidth="1"/>
    <col min="4630" max="4630" width="14.25" style="3" bestFit="1" customWidth="1"/>
    <col min="4631" max="4631" width="7" style="3" customWidth="1"/>
    <col min="4632" max="4859" width="9" style="3"/>
    <col min="4860" max="4860" width="6.625" style="3" customWidth="1"/>
    <col min="4861" max="4861" width="21.375" style="3" customWidth="1"/>
    <col min="4862" max="4862" width="9.375" style="3" customWidth="1"/>
    <col min="4863" max="4863" width="14.625" style="3" bestFit="1" customWidth="1"/>
    <col min="4864" max="4864" width="9.625" style="3" customWidth="1"/>
    <col min="4865" max="4868" width="11.75" style="3" customWidth="1"/>
    <col min="4869" max="4869" width="18.25" style="3" customWidth="1"/>
    <col min="4870" max="4872" width="11.75" style="3" customWidth="1"/>
    <col min="4873" max="4873" width="7.75" style="3" customWidth="1"/>
    <col min="4874" max="4878" width="7" style="3" customWidth="1"/>
    <col min="4879" max="4880" width="0" style="3" hidden="1" customWidth="1"/>
    <col min="4881" max="4881" width="6.875" style="3" customWidth="1"/>
    <col min="4882" max="4882" width="8.625" style="3" customWidth="1"/>
    <col min="4883" max="4885" width="0" style="3" hidden="1" customWidth="1"/>
    <col min="4886" max="4886" width="14.25" style="3" bestFit="1" customWidth="1"/>
    <col min="4887" max="4887" width="7" style="3" customWidth="1"/>
    <col min="4888" max="5115" width="9" style="3"/>
    <col min="5116" max="5116" width="6.625" style="3" customWidth="1"/>
    <col min="5117" max="5117" width="21.375" style="3" customWidth="1"/>
    <col min="5118" max="5118" width="9.375" style="3" customWidth="1"/>
    <col min="5119" max="5119" width="14.625" style="3" bestFit="1" customWidth="1"/>
    <col min="5120" max="5120" width="9.625" style="3" customWidth="1"/>
    <col min="5121" max="5124" width="11.75" style="3" customWidth="1"/>
    <col min="5125" max="5125" width="18.25" style="3" customWidth="1"/>
    <col min="5126" max="5128" width="11.75" style="3" customWidth="1"/>
    <col min="5129" max="5129" width="7.75" style="3" customWidth="1"/>
    <col min="5130" max="5134" width="7" style="3" customWidth="1"/>
    <col min="5135" max="5136" width="0" style="3" hidden="1" customWidth="1"/>
    <col min="5137" max="5137" width="6.875" style="3" customWidth="1"/>
    <col min="5138" max="5138" width="8.625" style="3" customWidth="1"/>
    <col min="5139" max="5141" width="0" style="3" hidden="1" customWidth="1"/>
    <col min="5142" max="5142" width="14.25" style="3" bestFit="1" customWidth="1"/>
    <col min="5143" max="5143" width="7" style="3" customWidth="1"/>
    <col min="5144" max="5371" width="9" style="3"/>
    <col min="5372" max="5372" width="6.625" style="3" customWidth="1"/>
    <col min="5373" max="5373" width="21.375" style="3" customWidth="1"/>
    <col min="5374" max="5374" width="9.375" style="3" customWidth="1"/>
    <col min="5375" max="5375" width="14.625" style="3" bestFit="1" customWidth="1"/>
    <col min="5376" max="5376" width="9.625" style="3" customWidth="1"/>
    <col min="5377" max="5380" width="11.75" style="3" customWidth="1"/>
    <col min="5381" max="5381" width="18.25" style="3" customWidth="1"/>
    <col min="5382" max="5384" width="11.75" style="3" customWidth="1"/>
    <col min="5385" max="5385" width="7.75" style="3" customWidth="1"/>
    <col min="5386" max="5390" width="7" style="3" customWidth="1"/>
    <col min="5391" max="5392" width="0" style="3" hidden="1" customWidth="1"/>
    <col min="5393" max="5393" width="6.875" style="3" customWidth="1"/>
    <col min="5394" max="5394" width="8.625" style="3" customWidth="1"/>
    <col min="5395" max="5397" width="0" style="3" hidden="1" customWidth="1"/>
    <col min="5398" max="5398" width="14.25" style="3" bestFit="1" customWidth="1"/>
    <col min="5399" max="5399" width="7" style="3" customWidth="1"/>
    <col min="5400" max="5627" width="9" style="3"/>
    <col min="5628" max="5628" width="6.625" style="3" customWidth="1"/>
    <col min="5629" max="5629" width="21.375" style="3" customWidth="1"/>
    <col min="5630" max="5630" width="9.375" style="3" customWidth="1"/>
    <col min="5631" max="5631" width="14.625" style="3" bestFit="1" customWidth="1"/>
    <col min="5632" max="5632" width="9.625" style="3" customWidth="1"/>
    <col min="5633" max="5636" width="11.75" style="3" customWidth="1"/>
    <col min="5637" max="5637" width="18.25" style="3" customWidth="1"/>
    <col min="5638" max="5640" width="11.75" style="3" customWidth="1"/>
    <col min="5641" max="5641" width="7.75" style="3" customWidth="1"/>
    <col min="5642" max="5646" width="7" style="3" customWidth="1"/>
    <col min="5647" max="5648" width="0" style="3" hidden="1" customWidth="1"/>
    <col min="5649" max="5649" width="6.875" style="3" customWidth="1"/>
    <col min="5650" max="5650" width="8.625" style="3" customWidth="1"/>
    <col min="5651" max="5653" width="0" style="3" hidden="1" customWidth="1"/>
    <col min="5654" max="5654" width="14.25" style="3" bestFit="1" customWidth="1"/>
    <col min="5655" max="5655" width="7" style="3" customWidth="1"/>
    <col min="5656" max="5883" width="9" style="3"/>
    <col min="5884" max="5884" width="6.625" style="3" customWidth="1"/>
    <col min="5885" max="5885" width="21.375" style="3" customWidth="1"/>
    <col min="5886" max="5886" width="9.375" style="3" customWidth="1"/>
    <col min="5887" max="5887" width="14.625" style="3" bestFit="1" customWidth="1"/>
    <col min="5888" max="5888" width="9.625" style="3" customWidth="1"/>
    <col min="5889" max="5892" width="11.75" style="3" customWidth="1"/>
    <col min="5893" max="5893" width="18.25" style="3" customWidth="1"/>
    <col min="5894" max="5896" width="11.75" style="3" customWidth="1"/>
    <col min="5897" max="5897" width="7.75" style="3" customWidth="1"/>
    <col min="5898" max="5902" width="7" style="3" customWidth="1"/>
    <col min="5903" max="5904" width="0" style="3" hidden="1" customWidth="1"/>
    <col min="5905" max="5905" width="6.875" style="3" customWidth="1"/>
    <col min="5906" max="5906" width="8.625" style="3" customWidth="1"/>
    <col min="5907" max="5909" width="0" style="3" hidden="1" customWidth="1"/>
    <col min="5910" max="5910" width="14.25" style="3" bestFit="1" customWidth="1"/>
    <col min="5911" max="5911" width="7" style="3" customWidth="1"/>
    <col min="5912" max="6139" width="9" style="3"/>
    <col min="6140" max="6140" width="6.625" style="3" customWidth="1"/>
    <col min="6141" max="6141" width="21.375" style="3" customWidth="1"/>
    <col min="6142" max="6142" width="9.375" style="3" customWidth="1"/>
    <col min="6143" max="6143" width="14.625" style="3" bestFit="1" customWidth="1"/>
    <col min="6144" max="6144" width="9.625" style="3" customWidth="1"/>
    <col min="6145" max="6148" width="11.75" style="3" customWidth="1"/>
    <col min="6149" max="6149" width="18.25" style="3" customWidth="1"/>
    <col min="6150" max="6152" width="11.75" style="3" customWidth="1"/>
    <col min="6153" max="6153" width="7.75" style="3" customWidth="1"/>
    <col min="6154" max="6158" width="7" style="3" customWidth="1"/>
    <col min="6159" max="6160" width="0" style="3" hidden="1" customWidth="1"/>
    <col min="6161" max="6161" width="6.875" style="3" customWidth="1"/>
    <col min="6162" max="6162" width="8.625" style="3" customWidth="1"/>
    <col min="6163" max="6165" width="0" style="3" hidden="1" customWidth="1"/>
    <col min="6166" max="6166" width="14.25" style="3" bestFit="1" customWidth="1"/>
    <col min="6167" max="6167" width="7" style="3" customWidth="1"/>
    <col min="6168" max="6395" width="9" style="3"/>
    <col min="6396" max="6396" width="6.625" style="3" customWidth="1"/>
    <col min="6397" max="6397" width="21.375" style="3" customWidth="1"/>
    <col min="6398" max="6398" width="9.375" style="3" customWidth="1"/>
    <col min="6399" max="6399" width="14.625" style="3" bestFit="1" customWidth="1"/>
    <col min="6400" max="6400" width="9.625" style="3" customWidth="1"/>
    <col min="6401" max="6404" width="11.75" style="3" customWidth="1"/>
    <col min="6405" max="6405" width="18.25" style="3" customWidth="1"/>
    <col min="6406" max="6408" width="11.75" style="3" customWidth="1"/>
    <col min="6409" max="6409" width="7.75" style="3" customWidth="1"/>
    <col min="6410" max="6414" width="7" style="3" customWidth="1"/>
    <col min="6415" max="6416" width="0" style="3" hidden="1" customWidth="1"/>
    <col min="6417" max="6417" width="6.875" style="3" customWidth="1"/>
    <col min="6418" max="6418" width="8.625" style="3" customWidth="1"/>
    <col min="6419" max="6421" width="0" style="3" hidden="1" customWidth="1"/>
    <col min="6422" max="6422" width="14.25" style="3" bestFit="1" customWidth="1"/>
    <col min="6423" max="6423" width="7" style="3" customWidth="1"/>
    <col min="6424" max="6651" width="9" style="3"/>
    <col min="6652" max="6652" width="6.625" style="3" customWidth="1"/>
    <col min="6653" max="6653" width="21.375" style="3" customWidth="1"/>
    <col min="6654" max="6654" width="9.375" style="3" customWidth="1"/>
    <col min="6655" max="6655" width="14.625" style="3" bestFit="1" customWidth="1"/>
    <col min="6656" max="6656" width="9.625" style="3" customWidth="1"/>
    <col min="6657" max="6660" width="11.75" style="3" customWidth="1"/>
    <col min="6661" max="6661" width="18.25" style="3" customWidth="1"/>
    <col min="6662" max="6664" width="11.75" style="3" customWidth="1"/>
    <col min="6665" max="6665" width="7.75" style="3" customWidth="1"/>
    <col min="6666" max="6670" width="7" style="3" customWidth="1"/>
    <col min="6671" max="6672" width="0" style="3" hidden="1" customWidth="1"/>
    <col min="6673" max="6673" width="6.875" style="3" customWidth="1"/>
    <col min="6674" max="6674" width="8.625" style="3" customWidth="1"/>
    <col min="6675" max="6677" width="0" style="3" hidden="1" customWidth="1"/>
    <col min="6678" max="6678" width="14.25" style="3" bestFit="1" customWidth="1"/>
    <col min="6679" max="6679" width="7" style="3" customWidth="1"/>
    <col min="6680" max="6907" width="9" style="3"/>
    <col min="6908" max="6908" width="6.625" style="3" customWidth="1"/>
    <col min="6909" max="6909" width="21.375" style="3" customWidth="1"/>
    <col min="6910" max="6910" width="9.375" style="3" customWidth="1"/>
    <col min="6911" max="6911" width="14.625" style="3" bestFit="1" customWidth="1"/>
    <col min="6912" max="6912" width="9.625" style="3" customWidth="1"/>
    <col min="6913" max="6916" width="11.75" style="3" customWidth="1"/>
    <col min="6917" max="6917" width="18.25" style="3" customWidth="1"/>
    <col min="6918" max="6920" width="11.75" style="3" customWidth="1"/>
    <col min="6921" max="6921" width="7.75" style="3" customWidth="1"/>
    <col min="6922" max="6926" width="7" style="3" customWidth="1"/>
    <col min="6927" max="6928" width="0" style="3" hidden="1" customWidth="1"/>
    <col min="6929" max="6929" width="6.875" style="3" customWidth="1"/>
    <col min="6930" max="6930" width="8.625" style="3" customWidth="1"/>
    <col min="6931" max="6933" width="0" style="3" hidden="1" customWidth="1"/>
    <col min="6934" max="6934" width="14.25" style="3" bestFit="1" customWidth="1"/>
    <col min="6935" max="6935" width="7" style="3" customWidth="1"/>
    <col min="6936" max="7163" width="9" style="3"/>
    <col min="7164" max="7164" width="6.625" style="3" customWidth="1"/>
    <col min="7165" max="7165" width="21.375" style="3" customWidth="1"/>
    <col min="7166" max="7166" width="9.375" style="3" customWidth="1"/>
    <col min="7167" max="7167" width="14.625" style="3" bestFit="1" customWidth="1"/>
    <col min="7168" max="7168" width="9.625" style="3" customWidth="1"/>
    <col min="7169" max="7172" width="11.75" style="3" customWidth="1"/>
    <col min="7173" max="7173" width="18.25" style="3" customWidth="1"/>
    <col min="7174" max="7176" width="11.75" style="3" customWidth="1"/>
    <col min="7177" max="7177" width="7.75" style="3" customWidth="1"/>
    <col min="7178" max="7182" width="7" style="3" customWidth="1"/>
    <col min="7183" max="7184" width="0" style="3" hidden="1" customWidth="1"/>
    <col min="7185" max="7185" width="6.875" style="3" customWidth="1"/>
    <col min="7186" max="7186" width="8.625" style="3" customWidth="1"/>
    <col min="7187" max="7189" width="0" style="3" hidden="1" customWidth="1"/>
    <col min="7190" max="7190" width="14.25" style="3" bestFit="1" customWidth="1"/>
    <col min="7191" max="7191" width="7" style="3" customWidth="1"/>
    <col min="7192" max="7419" width="9" style="3"/>
    <col min="7420" max="7420" width="6.625" style="3" customWidth="1"/>
    <col min="7421" max="7421" width="21.375" style="3" customWidth="1"/>
    <col min="7422" max="7422" width="9.375" style="3" customWidth="1"/>
    <col min="7423" max="7423" width="14.625" style="3" bestFit="1" customWidth="1"/>
    <col min="7424" max="7424" width="9.625" style="3" customWidth="1"/>
    <col min="7425" max="7428" width="11.75" style="3" customWidth="1"/>
    <col min="7429" max="7429" width="18.25" style="3" customWidth="1"/>
    <col min="7430" max="7432" width="11.75" style="3" customWidth="1"/>
    <col min="7433" max="7433" width="7.75" style="3" customWidth="1"/>
    <col min="7434" max="7438" width="7" style="3" customWidth="1"/>
    <col min="7439" max="7440" width="0" style="3" hidden="1" customWidth="1"/>
    <col min="7441" max="7441" width="6.875" style="3" customWidth="1"/>
    <col min="7442" max="7442" width="8.625" style="3" customWidth="1"/>
    <col min="7443" max="7445" width="0" style="3" hidden="1" customWidth="1"/>
    <col min="7446" max="7446" width="14.25" style="3" bestFit="1" customWidth="1"/>
    <col min="7447" max="7447" width="7" style="3" customWidth="1"/>
    <col min="7448" max="7675" width="9" style="3"/>
    <col min="7676" max="7676" width="6.625" style="3" customWidth="1"/>
    <col min="7677" max="7677" width="21.375" style="3" customWidth="1"/>
    <col min="7678" max="7678" width="9.375" style="3" customWidth="1"/>
    <col min="7679" max="7679" width="14.625" style="3" bestFit="1" customWidth="1"/>
    <col min="7680" max="7680" width="9.625" style="3" customWidth="1"/>
    <col min="7681" max="7684" width="11.75" style="3" customWidth="1"/>
    <col min="7685" max="7685" width="18.25" style="3" customWidth="1"/>
    <col min="7686" max="7688" width="11.75" style="3" customWidth="1"/>
    <col min="7689" max="7689" width="7.75" style="3" customWidth="1"/>
    <col min="7690" max="7694" width="7" style="3" customWidth="1"/>
    <col min="7695" max="7696" width="0" style="3" hidden="1" customWidth="1"/>
    <col min="7697" max="7697" width="6.875" style="3" customWidth="1"/>
    <col min="7698" max="7698" width="8.625" style="3" customWidth="1"/>
    <col min="7699" max="7701" width="0" style="3" hidden="1" customWidth="1"/>
    <col min="7702" max="7702" width="14.25" style="3" bestFit="1" customWidth="1"/>
    <col min="7703" max="7703" width="7" style="3" customWidth="1"/>
    <col min="7704" max="7931" width="9" style="3"/>
    <col min="7932" max="7932" width="6.625" style="3" customWidth="1"/>
    <col min="7933" max="7933" width="21.375" style="3" customWidth="1"/>
    <col min="7934" max="7934" width="9.375" style="3" customWidth="1"/>
    <col min="7935" max="7935" width="14.625" style="3" bestFit="1" customWidth="1"/>
    <col min="7936" max="7936" width="9.625" style="3" customWidth="1"/>
    <col min="7937" max="7940" width="11.75" style="3" customWidth="1"/>
    <col min="7941" max="7941" width="18.25" style="3" customWidth="1"/>
    <col min="7942" max="7944" width="11.75" style="3" customWidth="1"/>
    <col min="7945" max="7945" width="7.75" style="3" customWidth="1"/>
    <col min="7946" max="7950" width="7" style="3" customWidth="1"/>
    <col min="7951" max="7952" width="0" style="3" hidden="1" customWidth="1"/>
    <col min="7953" max="7953" width="6.875" style="3" customWidth="1"/>
    <col min="7954" max="7954" width="8.625" style="3" customWidth="1"/>
    <col min="7955" max="7957" width="0" style="3" hidden="1" customWidth="1"/>
    <col min="7958" max="7958" width="14.25" style="3" bestFit="1" customWidth="1"/>
    <col min="7959" max="7959" width="7" style="3" customWidth="1"/>
    <col min="7960" max="8187" width="9" style="3"/>
    <col min="8188" max="8188" width="6.625" style="3" customWidth="1"/>
    <col min="8189" max="8189" width="21.375" style="3" customWidth="1"/>
    <col min="8190" max="8190" width="9.375" style="3" customWidth="1"/>
    <col min="8191" max="8191" width="14.625" style="3" bestFit="1" customWidth="1"/>
    <col min="8192" max="8192" width="9.625" style="3" customWidth="1"/>
    <col min="8193" max="8196" width="11.75" style="3" customWidth="1"/>
    <col min="8197" max="8197" width="18.25" style="3" customWidth="1"/>
    <col min="8198" max="8200" width="11.75" style="3" customWidth="1"/>
    <col min="8201" max="8201" width="7.75" style="3" customWidth="1"/>
    <col min="8202" max="8206" width="7" style="3" customWidth="1"/>
    <col min="8207" max="8208" width="0" style="3" hidden="1" customWidth="1"/>
    <col min="8209" max="8209" width="6.875" style="3" customWidth="1"/>
    <col min="8210" max="8210" width="8.625" style="3" customWidth="1"/>
    <col min="8211" max="8213" width="0" style="3" hidden="1" customWidth="1"/>
    <col min="8214" max="8214" width="14.25" style="3" bestFit="1" customWidth="1"/>
    <col min="8215" max="8215" width="7" style="3" customWidth="1"/>
    <col min="8216" max="8443" width="9" style="3"/>
    <col min="8444" max="8444" width="6.625" style="3" customWidth="1"/>
    <col min="8445" max="8445" width="21.375" style="3" customWidth="1"/>
    <col min="8446" max="8446" width="9.375" style="3" customWidth="1"/>
    <col min="8447" max="8447" width="14.625" style="3" bestFit="1" customWidth="1"/>
    <col min="8448" max="8448" width="9.625" style="3" customWidth="1"/>
    <col min="8449" max="8452" width="11.75" style="3" customWidth="1"/>
    <col min="8453" max="8453" width="18.25" style="3" customWidth="1"/>
    <col min="8454" max="8456" width="11.75" style="3" customWidth="1"/>
    <col min="8457" max="8457" width="7.75" style="3" customWidth="1"/>
    <col min="8458" max="8462" width="7" style="3" customWidth="1"/>
    <col min="8463" max="8464" width="0" style="3" hidden="1" customWidth="1"/>
    <col min="8465" max="8465" width="6.875" style="3" customWidth="1"/>
    <col min="8466" max="8466" width="8.625" style="3" customWidth="1"/>
    <col min="8467" max="8469" width="0" style="3" hidden="1" customWidth="1"/>
    <col min="8470" max="8470" width="14.25" style="3" bestFit="1" customWidth="1"/>
    <col min="8471" max="8471" width="7" style="3" customWidth="1"/>
    <col min="8472" max="8699" width="9" style="3"/>
    <col min="8700" max="8700" width="6.625" style="3" customWidth="1"/>
    <col min="8701" max="8701" width="21.375" style="3" customWidth="1"/>
    <col min="8702" max="8702" width="9.375" style="3" customWidth="1"/>
    <col min="8703" max="8703" width="14.625" style="3" bestFit="1" customWidth="1"/>
    <col min="8704" max="8704" width="9.625" style="3" customWidth="1"/>
    <col min="8705" max="8708" width="11.75" style="3" customWidth="1"/>
    <col min="8709" max="8709" width="18.25" style="3" customWidth="1"/>
    <col min="8710" max="8712" width="11.75" style="3" customWidth="1"/>
    <col min="8713" max="8713" width="7.75" style="3" customWidth="1"/>
    <col min="8714" max="8718" width="7" style="3" customWidth="1"/>
    <col min="8719" max="8720" width="0" style="3" hidden="1" customWidth="1"/>
    <col min="8721" max="8721" width="6.875" style="3" customWidth="1"/>
    <col min="8722" max="8722" width="8.625" style="3" customWidth="1"/>
    <col min="8723" max="8725" width="0" style="3" hidden="1" customWidth="1"/>
    <col min="8726" max="8726" width="14.25" style="3" bestFit="1" customWidth="1"/>
    <col min="8727" max="8727" width="7" style="3" customWidth="1"/>
    <col min="8728" max="8955" width="9" style="3"/>
    <col min="8956" max="8956" width="6.625" style="3" customWidth="1"/>
    <col min="8957" max="8957" width="21.375" style="3" customWidth="1"/>
    <col min="8958" max="8958" width="9.375" style="3" customWidth="1"/>
    <col min="8959" max="8959" width="14.625" style="3" bestFit="1" customWidth="1"/>
    <col min="8960" max="8960" width="9.625" style="3" customWidth="1"/>
    <col min="8961" max="8964" width="11.75" style="3" customWidth="1"/>
    <col min="8965" max="8965" width="18.25" style="3" customWidth="1"/>
    <col min="8966" max="8968" width="11.75" style="3" customWidth="1"/>
    <col min="8969" max="8969" width="7.75" style="3" customWidth="1"/>
    <col min="8970" max="8974" width="7" style="3" customWidth="1"/>
    <col min="8975" max="8976" width="0" style="3" hidden="1" customWidth="1"/>
    <col min="8977" max="8977" width="6.875" style="3" customWidth="1"/>
    <col min="8978" max="8978" width="8.625" style="3" customWidth="1"/>
    <col min="8979" max="8981" width="0" style="3" hidden="1" customWidth="1"/>
    <col min="8982" max="8982" width="14.25" style="3" bestFit="1" customWidth="1"/>
    <col min="8983" max="8983" width="7" style="3" customWidth="1"/>
    <col min="8984" max="9211" width="9" style="3"/>
    <col min="9212" max="9212" width="6.625" style="3" customWidth="1"/>
    <col min="9213" max="9213" width="21.375" style="3" customWidth="1"/>
    <col min="9214" max="9214" width="9.375" style="3" customWidth="1"/>
    <col min="9215" max="9215" width="14.625" style="3" bestFit="1" customWidth="1"/>
    <col min="9216" max="9216" width="9.625" style="3" customWidth="1"/>
    <col min="9217" max="9220" width="11.75" style="3" customWidth="1"/>
    <col min="9221" max="9221" width="18.25" style="3" customWidth="1"/>
    <col min="9222" max="9224" width="11.75" style="3" customWidth="1"/>
    <col min="9225" max="9225" width="7.75" style="3" customWidth="1"/>
    <col min="9226" max="9230" width="7" style="3" customWidth="1"/>
    <col min="9231" max="9232" width="0" style="3" hidden="1" customWidth="1"/>
    <col min="9233" max="9233" width="6.875" style="3" customWidth="1"/>
    <col min="9234" max="9234" width="8.625" style="3" customWidth="1"/>
    <col min="9235" max="9237" width="0" style="3" hidden="1" customWidth="1"/>
    <col min="9238" max="9238" width="14.25" style="3" bestFit="1" customWidth="1"/>
    <col min="9239" max="9239" width="7" style="3" customWidth="1"/>
    <col min="9240" max="9467" width="9" style="3"/>
    <col min="9468" max="9468" width="6.625" style="3" customWidth="1"/>
    <col min="9469" max="9469" width="21.375" style="3" customWidth="1"/>
    <col min="9470" max="9470" width="9.375" style="3" customWidth="1"/>
    <col min="9471" max="9471" width="14.625" style="3" bestFit="1" customWidth="1"/>
    <col min="9472" max="9472" width="9.625" style="3" customWidth="1"/>
    <col min="9473" max="9476" width="11.75" style="3" customWidth="1"/>
    <col min="9477" max="9477" width="18.25" style="3" customWidth="1"/>
    <col min="9478" max="9480" width="11.75" style="3" customWidth="1"/>
    <col min="9481" max="9481" width="7.75" style="3" customWidth="1"/>
    <col min="9482" max="9486" width="7" style="3" customWidth="1"/>
    <col min="9487" max="9488" width="0" style="3" hidden="1" customWidth="1"/>
    <col min="9489" max="9489" width="6.875" style="3" customWidth="1"/>
    <col min="9490" max="9490" width="8.625" style="3" customWidth="1"/>
    <col min="9491" max="9493" width="0" style="3" hidden="1" customWidth="1"/>
    <col min="9494" max="9494" width="14.25" style="3" bestFit="1" customWidth="1"/>
    <col min="9495" max="9495" width="7" style="3" customWidth="1"/>
    <col min="9496" max="9723" width="9" style="3"/>
    <col min="9724" max="9724" width="6.625" style="3" customWidth="1"/>
    <col min="9725" max="9725" width="21.375" style="3" customWidth="1"/>
    <col min="9726" max="9726" width="9.375" style="3" customWidth="1"/>
    <col min="9727" max="9727" width="14.625" style="3" bestFit="1" customWidth="1"/>
    <col min="9728" max="9728" width="9.625" style="3" customWidth="1"/>
    <col min="9729" max="9732" width="11.75" style="3" customWidth="1"/>
    <col min="9733" max="9733" width="18.25" style="3" customWidth="1"/>
    <col min="9734" max="9736" width="11.75" style="3" customWidth="1"/>
    <col min="9737" max="9737" width="7.75" style="3" customWidth="1"/>
    <col min="9738" max="9742" width="7" style="3" customWidth="1"/>
    <col min="9743" max="9744" width="0" style="3" hidden="1" customWidth="1"/>
    <col min="9745" max="9745" width="6.875" style="3" customWidth="1"/>
    <col min="9746" max="9746" width="8.625" style="3" customWidth="1"/>
    <col min="9747" max="9749" width="0" style="3" hidden="1" customWidth="1"/>
    <col min="9750" max="9750" width="14.25" style="3" bestFit="1" customWidth="1"/>
    <col min="9751" max="9751" width="7" style="3" customWidth="1"/>
    <col min="9752" max="9979" width="9" style="3"/>
    <col min="9980" max="9980" width="6.625" style="3" customWidth="1"/>
    <col min="9981" max="9981" width="21.375" style="3" customWidth="1"/>
    <col min="9982" max="9982" width="9.375" style="3" customWidth="1"/>
    <col min="9983" max="9983" width="14.625" style="3" bestFit="1" customWidth="1"/>
    <col min="9984" max="9984" width="9.625" style="3" customWidth="1"/>
    <col min="9985" max="9988" width="11.75" style="3" customWidth="1"/>
    <col min="9989" max="9989" width="18.25" style="3" customWidth="1"/>
    <col min="9990" max="9992" width="11.75" style="3" customWidth="1"/>
    <col min="9993" max="9993" width="7.75" style="3" customWidth="1"/>
    <col min="9994" max="9998" width="7" style="3" customWidth="1"/>
    <col min="9999" max="10000" width="0" style="3" hidden="1" customWidth="1"/>
    <col min="10001" max="10001" width="6.875" style="3" customWidth="1"/>
    <col min="10002" max="10002" width="8.625" style="3" customWidth="1"/>
    <col min="10003" max="10005" width="0" style="3" hidden="1" customWidth="1"/>
    <col min="10006" max="10006" width="14.25" style="3" bestFit="1" customWidth="1"/>
    <col min="10007" max="10007" width="7" style="3" customWidth="1"/>
    <col min="10008" max="10235" width="9" style="3"/>
    <col min="10236" max="10236" width="6.625" style="3" customWidth="1"/>
    <col min="10237" max="10237" width="21.375" style="3" customWidth="1"/>
    <col min="10238" max="10238" width="9.375" style="3" customWidth="1"/>
    <col min="10239" max="10239" width="14.625" style="3" bestFit="1" customWidth="1"/>
    <col min="10240" max="10240" width="9.625" style="3" customWidth="1"/>
    <col min="10241" max="10244" width="11.75" style="3" customWidth="1"/>
    <col min="10245" max="10245" width="18.25" style="3" customWidth="1"/>
    <col min="10246" max="10248" width="11.75" style="3" customWidth="1"/>
    <col min="10249" max="10249" width="7.75" style="3" customWidth="1"/>
    <col min="10250" max="10254" width="7" style="3" customWidth="1"/>
    <col min="10255" max="10256" width="0" style="3" hidden="1" customWidth="1"/>
    <col min="10257" max="10257" width="6.875" style="3" customWidth="1"/>
    <col min="10258" max="10258" width="8.625" style="3" customWidth="1"/>
    <col min="10259" max="10261" width="0" style="3" hidden="1" customWidth="1"/>
    <col min="10262" max="10262" width="14.25" style="3" bestFit="1" customWidth="1"/>
    <col min="10263" max="10263" width="7" style="3" customWidth="1"/>
    <col min="10264" max="10491" width="9" style="3"/>
    <col min="10492" max="10492" width="6.625" style="3" customWidth="1"/>
    <col min="10493" max="10493" width="21.375" style="3" customWidth="1"/>
    <col min="10494" max="10494" width="9.375" style="3" customWidth="1"/>
    <col min="10495" max="10495" width="14.625" style="3" bestFit="1" customWidth="1"/>
    <col min="10496" max="10496" width="9.625" style="3" customWidth="1"/>
    <col min="10497" max="10500" width="11.75" style="3" customWidth="1"/>
    <col min="10501" max="10501" width="18.25" style="3" customWidth="1"/>
    <col min="10502" max="10504" width="11.75" style="3" customWidth="1"/>
    <col min="10505" max="10505" width="7.75" style="3" customWidth="1"/>
    <col min="10506" max="10510" width="7" style="3" customWidth="1"/>
    <col min="10511" max="10512" width="0" style="3" hidden="1" customWidth="1"/>
    <col min="10513" max="10513" width="6.875" style="3" customWidth="1"/>
    <col min="10514" max="10514" width="8.625" style="3" customWidth="1"/>
    <col min="10515" max="10517" width="0" style="3" hidden="1" customWidth="1"/>
    <col min="10518" max="10518" width="14.25" style="3" bestFit="1" customWidth="1"/>
    <col min="10519" max="10519" width="7" style="3" customWidth="1"/>
    <col min="10520" max="10747" width="9" style="3"/>
    <col min="10748" max="10748" width="6.625" style="3" customWidth="1"/>
    <col min="10749" max="10749" width="21.375" style="3" customWidth="1"/>
    <col min="10750" max="10750" width="9.375" style="3" customWidth="1"/>
    <col min="10751" max="10751" width="14.625" style="3" bestFit="1" customWidth="1"/>
    <col min="10752" max="10752" width="9.625" style="3" customWidth="1"/>
    <col min="10753" max="10756" width="11.75" style="3" customWidth="1"/>
    <col min="10757" max="10757" width="18.25" style="3" customWidth="1"/>
    <col min="10758" max="10760" width="11.75" style="3" customWidth="1"/>
    <col min="10761" max="10761" width="7.75" style="3" customWidth="1"/>
    <col min="10762" max="10766" width="7" style="3" customWidth="1"/>
    <col min="10767" max="10768" width="0" style="3" hidden="1" customWidth="1"/>
    <col min="10769" max="10769" width="6.875" style="3" customWidth="1"/>
    <col min="10770" max="10770" width="8.625" style="3" customWidth="1"/>
    <col min="10771" max="10773" width="0" style="3" hidden="1" customWidth="1"/>
    <col min="10774" max="10774" width="14.25" style="3" bestFit="1" customWidth="1"/>
    <col min="10775" max="10775" width="7" style="3" customWidth="1"/>
    <col min="10776" max="11003" width="9" style="3"/>
    <col min="11004" max="11004" width="6.625" style="3" customWidth="1"/>
    <col min="11005" max="11005" width="21.375" style="3" customWidth="1"/>
    <col min="11006" max="11006" width="9.375" style="3" customWidth="1"/>
    <col min="11007" max="11007" width="14.625" style="3" bestFit="1" customWidth="1"/>
    <col min="11008" max="11008" width="9.625" style="3" customWidth="1"/>
    <col min="11009" max="11012" width="11.75" style="3" customWidth="1"/>
    <col min="11013" max="11013" width="18.25" style="3" customWidth="1"/>
    <col min="11014" max="11016" width="11.75" style="3" customWidth="1"/>
    <col min="11017" max="11017" width="7.75" style="3" customWidth="1"/>
    <col min="11018" max="11022" width="7" style="3" customWidth="1"/>
    <col min="11023" max="11024" width="0" style="3" hidden="1" customWidth="1"/>
    <col min="11025" max="11025" width="6.875" style="3" customWidth="1"/>
    <col min="11026" max="11026" width="8.625" style="3" customWidth="1"/>
    <col min="11027" max="11029" width="0" style="3" hidden="1" customWidth="1"/>
    <col min="11030" max="11030" width="14.25" style="3" bestFit="1" customWidth="1"/>
    <col min="11031" max="11031" width="7" style="3" customWidth="1"/>
    <col min="11032" max="11259" width="9" style="3"/>
    <col min="11260" max="11260" width="6.625" style="3" customWidth="1"/>
    <col min="11261" max="11261" width="21.375" style="3" customWidth="1"/>
    <col min="11262" max="11262" width="9.375" style="3" customWidth="1"/>
    <col min="11263" max="11263" width="14.625" style="3" bestFit="1" customWidth="1"/>
    <col min="11264" max="11264" width="9.625" style="3" customWidth="1"/>
    <col min="11265" max="11268" width="11.75" style="3" customWidth="1"/>
    <col min="11269" max="11269" width="18.25" style="3" customWidth="1"/>
    <col min="11270" max="11272" width="11.75" style="3" customWidth="1"/>
    <col min="11273" max="11273" width="7.75" style="3" customWidth="1"/>
    <col min="11274" max="11278" width="7" style="3" customWidth="1"/>
    <col min="11279" max="11280" width="0" style="3" hidden="1" customWidth="1"/>
    <col min="11281" max="11281" width="6.875" style="3" customWidth="1"/>
    <col min="11282" max="11282" width="8.625" style="3" customWidth="1"/>
    <col min="11283" max="11285" width="0" style="3" hidden="1" customWidth="1"/>
    <col min="11286" max="11286" width="14.25" style="3" bestFit="1" customWidth="1"/>
    <col min="11287" max="11287" width="7" style="3" customWidth="1"/>
    <col min="11288" max="11515" width="9" style="3"/>
    <col min="11516" max="11516" width="6.625" style="3" customWidth="1"/>
    <col min="11517" max="11517" width="21.375" style="3" customWidth="1"/>
    <col min="11518" max="11518" width="9.375" style="3" customWidth="1"/>
    <col min="11519" max="11519" width="14.625" style="3" bestFit="1" customWidth="1"/>
    <col min="11520" max="11520" width="9.625" style="3" customWidth="1"/>
    <col min="11521" max="11524" width="11.75" style="3" customWidth="1"/>
    <col min="11525" max="11525" width="18.25" style="3" customWidth="1"/>
    <col min="11526" max="11528" width="11.75" style="3" customWidth="1"/>
    <col min="11529" max="11529" width="7.75" style="3" customWidth="1"/>
    <col min="11530" max="11534" width="7" style="3" customWidth="1"/>
    <col min="11535" max="11536" width="0" style="3" hidden="1" customWidth="1"/>
    <col min="11537" max="11537" width="6.875" style="3" customWidth="1"/>
    <col min="11538" max="11538" width="8.625" style="3" customWidth="1"/>
    <col min="11539" max="11541" width="0" style="3" hidden="1" customWidth="1"/>
    <col min="11542" max="11542" width="14.25" style="3" bestFit="1" customWidth="1"/>
    <col min="11543" max="11543" width="7" style="3" customWidth="1"/>
    <col min="11544" max="11771" width="9" style="3"/>
    <col min="11772" max="11772" width="6.625" style="3" customWidth="1"/>
    <col min="11773" max="11773" width="21.375" style="3" customWidth="1"/>
    <col min="11774" max="11774" width="9.375" style="3" customWidth="1"/>
    <col min="11775" max="11775" width="14.625" style="3" bestFit="1" customWidth="1"/>
    <col min="11776" max="11776" width="9.625" style="3" customWidth="1"/>
    <col min="11777" max="11780" width="11.75" style="3" customWidth="1"/>
    <col min="11781" max="11781" width="18.25" style="3" customWidth="1"/>
    <col min="11782" max="11784" width="11.75" style="3" customWidth="1"/>
    <col min="11785" max="11785" width="7.75" style="3" customWidth="1"/>
    <col min="11786" max="11790" width="7" style="3" customWidth="1"/>
    <col min="11791" max="11792" width="0" style="3" hidden="1" customWidth="1"/>
    <col min="11793" max="11793" width="6.875" style="3" customWidth="1"/>
    <col min="11794" max="11794" width="8.625" style="3" customWidth="1"/>
    <col min="11795" max="11797" width="0" style="3" hidden="1" customWidth="1"/>
    <col min="11798" max="11798" width="14.25" style="3" bestFit="1" customWidth="1"/>
    <col min="11799" max="11799" width="7" style="3" customWidth="1"/>
    <col min="11800" max="12027" width="9" style="3"/>
    <col min="12028" max="12028" width="6.625" style="3" customWidth="1"/>
    <col min="12029" max="12029" width="21.375" style="3" customWidth="1"/>
    <col min="12030" max="12030" width="9.375" style="3" customWidth="1"/>
    <col min="12031" max="12031" width="14.625" style="3" bestFit="1" customWidth="1"/>
    <col min="12032" max="12032" width="9.625" style="3" customWidth="1"/>
    <col min="12033" max="12036" width="11.75" style="3" customWidth="1"/>
    <col min="12037" max="12037" width="18.25" style="3" customWidth="1"/>
    <col min="12038" max="12040" width="11.75" style="3" customWidth="1"/>
    <col min="12041" max="12041" width="7.75" style="3" customWidth="1"/>
    <col min="12042" max="12046" width="7" style="3" customWidth="1"/>
    <col min="12047" max="12048" width="0" style="3" hidden="1" customWidth="1"/>
    <col min="12049" max="12049" width="6.875" style="3" customWidth="1"/>
    <col min="12050" max="12050" width="8.625" style="3" customWidth="1"/>
    <col min="12051" max="12053" width="0" style="3" hidden="1" customWidth="1"/>
    <col min="12054" max="12054" width="14.25" style="3" bestFit="1" customWidth="1"/>
    <col min="12055" max="12055" width="7" style="3" customWidth="1"/>
    <col min="12056" max="12283" width="9" style="3"/>
    <col min="12284" max="12284" width="6.625" style="3" customWidth="1"/>
    <col min="12285" max="12285" width="21.375" style="3" customWidth="1"/>
    <col min="12286" max="12286" width="9.375" style="3" customWidth="1"/>
    <col min="12287" max="12287" width="14.625" style="3" bestFit="1" customWidth="1"/>
    <col min="12288" max="12288" width="9.625" style="3" customWidth="1"/>
    <col min="12289" max="12292" width="11.75" style="3" customWidth="1"/>
    <col min="12293" max="12293" width="18.25" style="3" customWidth="1"/>
    <col min="12294" max="12296" width="11.75" style="3" customWidth="1"/>
    <col min="12297" max="12297" width="7.75" style="3" customWidth="1"/>
    <col min="12298" max="12302" width="7" style="3" customWidth="1"/>
    <col min="12303" max="12304" width="0" style="3" hidden="1" customWidth="1"/>
    <col min="12305" max="12305" width="6.875" style="3" customWidth="1"/>
    <col min="12306" max="12306" width="8.625" style="3" customWidth="1"/>
    <col min="12307" max="12309" width="0" style="3" hidden="1" customWidth="1"/>
    <col min="12310" max="12310" width="14.25" style="3" bestFit="1" customWidth="1"/>
    <col min="12311" max="12311" width="7" style="3" customWidth="1"/>
    <col min="12312" max="12539" width="9" style="3"/>
    <col min="12540" max="12540" width="6.625" style="3" customWidth="1"/>
    <col min="12541" max="12541" width="21.375" style="3" customWidth="1"/>
    <col min="12542" max="12542" width="9.375" style="3" customWidth="1"/>
    <col min="12543" max="12543" width="14.625" style="3" bestFit="1" customWidth="1"/>
    <col min="12544" max="12544" width="9.625" style="3" customWidth="1"/>
    <col min="12545" max="12548" width="11.75" style="3" customWidth="1"/>
    <col min="12549" max="12549" width="18.25" style="3" customWidth="1"/>
    <col min="12550" max="12552" width="11.75" style="3" customWidth="1"/>
    <col min="12553" max="12553" width="7.75" style="3" customWidth="1"/>
    <col min="12554" max="12558" width="7" style="3" customWidth="1"/>
    <col min="12559" max="12560" width="0" style="3" hidden="1" customWidth="1"/>
    <col min="12561" max="12561" width="6.875" style="3" customWidth="1"/>
    <col min="12562" max="12562" width="8.625" style="3" customWidth="1"/>
    <col min="12563" max="12565" width="0" style="3" hidden="1" customWidth="1"/>
    <col min="12566" max="12566" width="14.25" style="3" bestFit="1" customWidth="1"/>
    <col min="12567" max="12567" width="7" style="3" customWidth="1"/>
    <col min="12568" max="12795" width="9" style="3"/>
    <col min="12796" max="12796" width="6.625" style="3" customWidth="1"/>
    <col min="12797" max="12797" width="21.375" style="3" customWidth="1"/>
    <col min="12798" max="12798" width="9.375" style="3" customWidth="1"/>
    <col min="12799" max="12799" width="14.625" style="3" bestFit="1" customWidth="1"/>
    <col min="12800" max="12800" width="9.625" style="3" customWidth="1"/>
    <col min="12801" max="12804" width="11.75" style="3" customWidth="1"/>
    <col min="12805" max="12805" width="18.25" style="3" customWidth="1"/>
    <col min="12806" max="12808" width="11.75" style="3" customWidth="1"/>
    <col min="12809" max="12809" width="7.75" style="3" customWidth="1"/>
    <col min="12810" max="12814" width="7" style="3" customWidth="1"/>
    <col min="12815" max="12816" width="0" style="3" hidden="1" customWidth="1"/>
    <col min="12817" max="12817" width="6.875" style="3" customWidth="1"/>
    <col min="12818" max="12818" width="8.625" style="3" customWidth="1"/>
    <col min="12819" max="12821" width="0" style="3" hidden="1" customWidth="1"/>
    <col min="12822" max="12822" width="14.25" style="3" bestFit="1" customWidth="1"/>
    <col min="12823" max="12823" width="7" style="3" customWidth="1"/>
    <col min="12824" max="13051" width="9" style="3"/>
    <col min="13052" max="13052" width="6.625" style="3" customWidth="1"/>
    <col min="13053" max="13053" width="21.375" style="3" customWidth="1"/>
    <col min="13054" max="13054" width="9.375" style="3" customWidth="1"/>
    <col min="13055" max="13055" width="14.625" style="3" bestFit="1" customWidth="1"/>
    <col min="13056" max="13056" width="9.625" style="3" customWidth="1"/>
    <col min="13057" max="13060" width="11.75" style="3" customWidth="1"/>
    <col min="13061" max="13061" width="18.25" style="3" customWidth="1"/>
    <col min="13062" max="13064" width="11.75" style="3" customWidth="1"/>
    <col min="13065" max="13065" width="7.75" style="3" customWidth="1"/>
    <col min="13066" max="13070" width="7" style="3" customWidth="1"/>
    <col min="13071" max="13072" width="0" style="3" hidden="1" customWidth="1"/>
    <col min="13073" max="13073" width="6.875" style="3" customWidth="1"/>
    <col min="13074" max="13074" width="8.625" style="3" customWidth="1"/>
    <col min="13075" max="13077" width="0" style="3" hidden="1" customWidth="1"/>
    <col min="13078" max="13078" width="14.25" style="3" bestFit="1" customWidth="1"/>
    <col min="13079" max="13079" width="7" style="3" customWidth="1"/>
    <col min="13080" max="13307" width="9" style="3"/>
    <col min="13308" max="13308" width="6.625" style="3" customWidth="1"/>
    <col min="13309" max="13309" width="21.375" style="3" customWidth="1"/>
    <col min="13310" max="13310" width="9.375" style="3" customWidth="1"/>
    <col min="13311" max="13311" width="14.625" style="3" bestFit="1" customWidth="1"/>
    <col min="13312" max="13312" width="9.625" style="3" customWidth="1"/>
    <col min="13313" max="13316" width="11.75" style="3" customWidth="1"/>
    <col min="13317" max="13317" width="18.25" style="3" customWidth="1"/>
    <col min="13318" max="13320" width="11.75" style="3" customWidth="1"/>
    <col min="13321" max="13321" width="7.75" style="3" customWidth="1"/>
    <col min="13322" max="13326" width="7" style="3" customWidth="1"/>
    <col min="13327" max="13328" width="0" style="3" hidden="1" customWidth="1"/>
    <col min="13329" max="13329" width="6.875" style="3" customWidth="1"/>
    <col min="13330" max="13330" width="8.625" style="3" customWidth="1"/>
    <col min="13331" max="13333" width="0" style="3" hidden="1" customWidth="1"/>
    <col min="13334" max="13334" width="14.25" style="3" bestFit="1" customWidth="1"/>
    <col min="13335" max="13335" width="7" style="3" customWidth="1"/>
    <col min="13336" max="13563" width="9" style="3"/>
    <col min="13564" max="13564" width="6.625" style="3" customWidth="1"/>
    <col min="13565" max="13565" width="21.375" style="3" customWidth="1"/>
    <col min="13566" max="13566" width="9.375" style="3" customWidth="1"/>
    <col min="13567" max="13567" width="14.625" style="3" bestFit="1" customWidth="1"/>
    <col min="13568" max="13568" width="9.625" style="3" customWidth="1"/>
    <col min="13569" max="13572" width="11.75" style="3" customWidth="1"/>
    <col min="13573" max="13573" width="18.25" style="3" customWidth="1"/>
    <col min="13574" max="13576" width="11.75" style="3" customWidth="1"/>
    <col min="13577" max="13577" width="7.75" style="3" customWidth="1"/>
    <col min="13578" max="13582" width="7" style="3" customWidth="1"/>
    <col min="13583" max="13584" width="0" style="3" hidden="1" customWidth="1"/>
    <col min="13585" max="13585" width="6.875" style="3" customWidth="1"/>
    <col min="13586" max="13586" width="8.625" style="3" customWidth="1"/>
    <col min="13587" max="13589" width="0" style="3" hidden="1" customWidth="1"/>
    <col min="13590" max="13590" width="14.25" style="3" bestFit="1" customWidth="1"/>
    <col min="13591" max="13591" width="7" style="3" customWidth="1"/>
    <col min="13592" max="13819" width="9" style="3"/>
    <col min="13820" max="13820" width="6.625" style="3" customWidth="1"/>
    <col min="13821" max="13821" width="21.375" style="3" customWidth="1"/>
    <col min="13822" max="13822" width="9.375" style="3" customWidth="1"/>
    <col min="13823" max="13823" width="14.625" style="3" bestFit="1" customWidth="1"/>
    <col min="13824" max="13824" width="9.625" style="3" customWidth="1"/>
    <col min="13825" max="13828" width="11.75" style="3" customWidth="1"/>
    <col min="13829" max="13829" width="18.25" style="3" customWidth="1"/>
    <col min="13830" max="13832" width="11.75" style="3" customWidth="1"/>
    <col min="13833" max="13833" width="7.75" style="3" customWidth="1"/>
    <col min="13834" max="13838" width="7" style="3" customWidth="1"/>
    <col min="13839" max="13840" width="0" style="3" hidden="1" customWidth="1"/>
    <col min="13841" max="13841" width="6.875" style="3" customWidth="1"/>
    <col min="13842" max="13842" width="8.625" style="3" customWidth="1"/>
    <col min="13843" max="13845" width="0" style="3" hidden="1" customWidth="1"/>
    <col min="13846" max="13846" width="14.25" style="3" bestFit="1" customWidth="1"/>
    <col min="13847" max="13847" width="7" style="3" customWidth="1"/>
    <col min="13848" max="14075" width="9" style="3"/>
    <col min="14076" max="14076" width="6.625" style="3" customWidth="1"/>
    <col min="14077" max="14077" width="21.375" style="3" customWidth="1"/>
    <col min="14078" max="14078" width="9.375" style="3" customWidth="1"/>
    <col min="14079" max="14079" width="14.625" style="3" bestFit="1" customWidth="1"/>
    <col min="14080" max="14080" width="9.625" style="3" customWidth="1"/>
    <col min="14081" max="14084" width="11.75" style="3" customWidth="1"/>
    <col min="14085" max="14085" width="18.25" style="3" customWidth="1"/>
    <col min="14086" max="14088" width="11.75" style="3" customWidth="1"/>
    <col min="14089" max="14089" width="7.75" style="3" customWidth="1"/>
    <col min="14090" max="14094" width="7" style="3" customWidth="1"/>
    <col min="14095" max="14096" width="0" style="3" hidden="1" customWidth="1"/>
    <col min="14097" max="14097" width="6.875" style="3" customWidth="1"/>
    <col min="14098" max="14098" width="8.625" style="3" customWidth="1"/>
    <col min="14099" max="14101" width="0" style="3" hidden="1" customWidth="1"/>
    <col min="14102" max="14102" width="14.25" style="3" bestFit="1" customWidth="1"/>
    <col min="14103" max="14103" width="7" style="3" customWidth="1"/>
    <col min="14104" max="14331" width="9" style="3"/>
    <col min="14332" max="14332" width="6.625" style="3" customWidth="1"/>
    <col min="14333" max="14333" width="21.375" style="3" customWidth="1"/>
    <col min="14334" max="14334" width="9.375" style="3" customWidth="1"/>
    <col min="14335" max="14335" width="14.625" style="3" bestFit="1" customWidth="1"/>
    <col min="14336" max="14336" width="9.625" style="3" customWidth="1"/>
    <col min="14337" max="14340" width="11.75" style="3" customWidth="1"/>
    <col min="14341" max="14341" width="18.25" style="3" customWidth="1"/>
    <col min="14342" max="14344" width="11.75" style="3" customWidth="1"/>
    <col min="14345" max="14345" width="7.75" style="3" customWidth="1"/>
    <col min="14346" max="14350" width="7" style="3" customWidth="1"/>
    <col min="14351" max="14352" width="0" style="3" hidden="1" customWidth="1"/>
    <col min="14353" max="14353" width="6.875" style="3" customWidth="1"/>
    <col min="14354" max="14354" width="8.625" style="3" customWidth="1"/>
    <col min="14355" max="14357" width="0" style="3" hidden="1" customWidth="1"/>
    <col min="14358" max="14358" width="14.25" style="3" bestFit="1" customWidth="1"/>
    <col min="14359" max="14359" width="7" style="3" customWidth="1"/>
    <col min="14360" max="14587" width="9" style="3"/>
    <col min="14588" max="14588" width="6.625" style="3" customWidth="1"/>
    <col min="14589" max="14589" width="21.375" style="3" customWidth="1"/>
    <col min="14590" max="14590" width="9.375" style="3" customWidth="1"/>
    <col min="14591" max="14591" width="14.625" style="3" bestFit="1" customWidth="1"/>
    <col min="14592" max="14592" width="9.625" style="3" customWidth="1"/>
    <col min="14593" max="14596" width="11.75" style="3" customWidth="1"/>
    <col min="14597" max="14597" width="18.25" style="3" customWidth="1"/>
    <col min="14598" max="14600" width="11.75" style="3" customWidth="1"/>
    <col min="14601" max="14601" width="7.75" style="3" customWidth="1"/>
    <col min="14602" max="14606" width="7" style="3" customWidth="1"/>
    <col min="14607" max="14608" width="0" style="3" hidden="1" customWidth="1"/>
    <col min="14609" max="14609" width="6.875" style="3" customWidth="1"/>
    <col min="14610" max="14610" width="8.625" style="3" customWidth="1"/>
    <col min="14611" max="14613" width="0" style="3" hidden="1" customWidth="1"/>
    <col min="14614" max="14614" width="14.25" style="3" bestFit="1" customWidth="1"/>
    <col min="14615" max="14615" width="7" style="3" customWidth="1"/>
    <col min="14616" max="14843" width="9" style="3"/>
    <col min="14844" max="14844" width="6.625" style="3" customWidth="1"/>
    <col min="14845" max="14845" width="21.375" style="3" customWidth="1"/>
    <col min="14846" max="14846" width="9.375" style="3" customWidth="1"/>
    <col min="14847" max="14847" width="14.625" style="3" bestFit="1" customWidth="1"/>
    <col min="14848" max="14848" width="9.625" style="3" customWidth="1"/>
    <col min="14849" max="14852" width="11.75" style="3" customWidth="1"/>
    <col min="14853" max="14853" width="18.25" style="3" customWidth="1"/>
    <col min="14854" max="14856" width="11.75" style="3" customWidth="1"/>
    <col min="14857" max="14857" width="7.75" style="3" customWidth="1"/>
    <col min="14858" max="14862" width="7" style="3" customWidth="1"/>
    <col min="14863" max="14864" width="0" style="3" hidden="1" customWidth="1"/>
    <col min="14865" max="14865" width="6.875" style="3" customWidth="1"/>
    <col min="14866" max="14866" width="8.625" style="3" customWidth="1"/>
    <col min="14867" max="14869" width="0" style="3" hidden="1" customWidth="1"/>
    <col min="14870" max="14870" width="14.25" style="3" bestFit="1" customWidth="1"/>
    <col min="14871" max="14871" width="7" style="3" customWidth="1"/>
    <col min="14872" max="15099" width="9" style="3"/>
    <col min="15100" max="15100" width="6.625" style="3" customWidth="1"/>
    <col min="15101" max="15101" width="21.375" style="3" customWidth="1"/>
    <col min="15102" max="15102" width="9.375" style="3" customWidth="1"/>
    <col min="15103" max="15103" width="14.625" style="3" bestFit="1" customWidth="1"/>
    <col min="15104" max="15104" width="9.625" style="3" customWidth="1"/>
    <col min="15105" max="15108" width="11.75" style="3" customWidth="1"/>
    <col min="15109" max="15109" width="18.25" style="3" customWidth="1"/>
    <col min="15110" max="15112" width="11.75" style="3" customWidth="1"/>
    <col min="15113" max="15113" width="7.75" style="3" customWidth="1"/>
    <col min="15114" max="15118" width="7" style="3" customWidth="1"/>
    <col min="15119" max="15120" width="0" style="3" hidden="1" customWidth="1"/>
    <col min="15121" max="15121" width="6.875" style="3" customWidth="1"/>
    <col min="15122" max="15122" width="8.625" style="3" customWidth="1"/>
    <col min="15123" max="15125" width="0" style="3" hidden="1" customWidth="1"/>
    <col min="15126" max="15126" width="14.25" style="3" bestFit="1" customWidth="1"/>
    <col min="15127" max="15127" width="7" style="3" customWidth="1"/>
    <col min="15128" max="15355" width="9" style="3"/>
    <col min="15356" max="15356" width="6.625" style="3" customWidth="1"/>
    <col min="15357" max="15357" width="21.375" style="3" customWidth="1"/>
    <col min="15358" max="15358" width="9.375" style="3" customWidth="1"/>
    <col min="15359" max="15359" width="14.625" style="3" bestFit="1" customWidth="1"/>
    <col min="15360" max="15360" width="9.625" style="3" customWidth="1"/>
    <col min="15361" max="15364" width="11.75" style="3" customWidth="1"/>
    <col min="15365" max="15365" width="18.25" style="3" customWidth="1"/>
    <col min="15366" max="15368" width="11.75" style="3" customWidth="1"/>
    <col min="15369" max="15369" width="7.75" style="3" customWidth="1"/>
    <col min="15370" max="15374" width="7" style="3" customWidth="1"/>
    <col min="15375" max="15376" width="0" style="3" hidden="1" customWidth="1"/>
    <col min="15377" max="15377" width="6.875" style="3" customWidth="1"/>
    <col min="15378" max="15378" width="8.625" style="3" customWidth="1"/>
    <col min="15379" max="15381" width="0" style="3" hidden="1" customWidth="1"/>
    <col min="15382" max="15382" width="14.25" style="3" bestFit="1" customWidth="1"/>
    <col min="15383" max="15383" width="7" style="3" customWidth="1"/>
    <col min="15384" max="15611" width="9" style="3"/>
    <col min="15612" max="15612" width="6.625" style="3" customWidth="1"/>
    <col min="15613" max="15613" width="21.375" style="3" customWidth="1"/>
    <col min="15614" max="15614" width="9.375" style="3" customWidth="1"/>
    <col min="15615" max="15615" width="14.625" style="3" bestFit="1" customWidth="1"/>
    <col min="15616" max="15616" width="9.625" style="3" customWidth="1"/>
    <col min="15617" max="15620" width="11.75" style="3" customWidth="1"/>
    <col min="15621" max="15621" width="18.25" style="3" customWidth="1"/>
    <col min="15622" max="15624" width="11.75" style="3" customWidth="1"/>
    <col min="15625" max="15625" width="7.75" style="3" customWidth="1"/>
    <col min="15626" max="15630" width="7" style="3" customWidth="1"/>
    <col min="15631" max="15632" width="0" style="3" hidden="1" customWidth="1"/>
    <col min="15633" max="15633" width="6.875" style="3" customWidth="1"/>
    <col min="15634" max="15634" width="8.625" style="3" customWidth="1"/>
    <col min="15635" max="15637" width="0" style="3" hidden="1" customWidth="1"/>
    <col min="15638" max="15638" width="14.25" style="3" bestFit="1" customWidth="1"/>
    <col min="15639" max="15639" width="7" style="3" customWidth="1"/>
    <col min="15640" max="15867" width="9" style="3"/>
    <col min="15868" max="15868" width="6.625" style="3" customWidth="1"/>
    <col min="15869" max="15869" width="21.375" style="3" customWidth="1"/>
    <col min="15870" max="15870" width="9.375" style="3" customWidth="1"/>
    <col min="15871" max="15871" width="14.625" style="3" bestFit="1" customWidth="1"/>
    <col min="15872" max="15872" width="9.625" style="3" customWidth="1"/>
    <col min="15873" max="15876" width="11.75" style="3" customWidth="1"/>
    <col min="15877" max="15877" width="18.25" style="3" customWidth="1"/>
    <col min="15878" max="15880" width="11.75" style="3" customWidth="1"/>
    <col min="15881" max="15881" width="7.75" style="3" customWidth="1"/>
    <col min="15882" max="15886" width="7" style="3" customWidth="1"/>
    <col min="15887" max="15888" width="0" style="3" hidden="1" customWidth="1"/>
    <col min="15889" max="15889" width="6.875" style="3" customWidth="1"/>
    <col min="15890" max="15890" width="8.625" style="3" customWidth="1"/>
    <col min="15891" max="15893" width="0" style="3" hidden="1" customWidth="1"/>
    <col min="15894" max="15894" width="14.25" style="3" bestFit="1" customWidth="1"/>
    <col min="15895" max="15895" width="7" style="3" customWidth="1"/>
    <col min="15896" max="16123" width="9" style="3"/>
    <col min="16124" max="16124" width="6.625" style="3" customWidth="1"/>
    <col min="16125" max="16125" width="21.375" style="3" customWidth="1"/>
    <col min="16126" max="16126" width="9.375" style="3" customWidth="1"/>
    <col min="16127" max="16127" width="14.625" style="3" bestFit="1" customWidth="1"/>
    <col min="16128" max="16128" width="9.625" style="3" customWidth="1"/>
    <col min="16129" max="16132" width="11.75" style="3" customWidth="1"/>
    <col min="16133" max="16133" width="18.25" style="3" customWidth="1"/>
    <col min="16134" max="16136" width="11.75" style="3" customWidth="1"/>
    <col min="16137" max="16137" width="7.75" style="3" customWidth="1"/>
    <col min="16138" max="16142" width="7" style="3" customWidth="1"/>
    <col min="16143" max="16144" width="0" style="3" hidden="1" customWidth="1"/>
    <col min="16145" max="16145" width="6.875" style="3" customWidth="1"/>
    <col min="16146" max="16146" width="8.625" style="3" customWidth="1"/>
    <col min="16147" max="16149" width="0" style="3" hidden="1" customWidth="1"/>
    <col min="16150" max="16150" width="14.25" style="3" bestFit="1" customWidth="1"/>
    <col min="16151" max="16151" width="7" style="3" customWidth="1"/>
    <col min="16152" max="16384" width="9" style="3"/>
  </cols>
  <sheetData>
    <row r="1" spans="1:28" ht="18.75" customHeight="1" x14ac:dyDescent="0.25">
      <c r="A1" s="30" t="s">
        <v>0</v>
      </c>
      <c r="B1" s="30"/>
      <c r="C1" s="30"/>
      <c r="D1" s="31"/>
      <c r="E1" s="30"/>
      <c r="H1" s="1"/>
      <c r="I1" s="3"/>
      <c r="K1" s="5"/>
      <c r="L1" s="6" t="s">
        <v>1</v>
      </c>
      <c r="M1" s="5"/>
      <c r="N1" s="5"/>
      <c r="O1" s="7"/>
    </row>
    <row r="2" spans="1:28" ht="15.75" customHeight="1" x14ac:dyDescent="0.25">
      <c r="A2" s="32" t="s">
        <v>2</v>
      </c>
      <c r="B2" s="32"/>
      <c r="C2" s="32"/>
      <c r="D2" s="33"/>
      <c r="E2" s="32"/>
      <c r="F2" s="1" t="s">
        <v>3</v>
      </c>
      <c r="G2" s="1"/>
      <c r="H2" s="1"/>
      <c r="I2" s="3"/>
      <c r="K2" s="5"/>
      <c r="M2" s="6" t="s">
        <v>4</v>
      </c>
      <c r="N2" s="5"/>
      <c r="O2" s="7"/>
    </row>
    <row r="3" spans="1:28" ht="15.75" customHeight="1" x14ac:dyDescent="0.25">
      <c r="A3" s="34">
        <v>2025</v>
      </c>
      <c r="B3" s="34"/>
      <c r="C3" s="34"/>
      <c r="D3" s="35"/>
      <c r="E3" s="34"/>
    </row>
    <row r="4" spans="1:28" ht="15.75" customHeight="1" x14ac:dyDescent="0.25">
      <c r="A4" s="2">
        <v>11</v>
      </c>
      <c r="B4" s="3" t="s">
        <v>5</v>
      </c>
      <c r="C4" s="3" t="s">
        <v>6</v>
      </c>
    </row>
    <row r="5" spans="1:28" ht="15.75" customHeight="1" x14ac:dyDescent="0.25"/>
    <row r="6" spans="1:28" ht="21" customHeight="1" x14ac:dyDescent="0.25">
      <c r="A6" s="36" t="str">
        <f>"DANH SÁCH HỌC SINH TRÚNG TUYỂN NGHỀ "&amp;B4&amp;" "&amp;C4&amp;" "&amp;C4&amp;" (ĐỢT "&amp;A4&amp;")"</f>
        <v>DANH SÁCH HỌC SINH TRÚNG TUYỂN NGHỀ MAY THỜI TRANG CAO ĐẲNG CAO ĐẲNG (ĐỢT 11)</v>
      </c>
      <c r="B6" s="36"/>
      <c r="C6" s="36"/>
      <c r="D6" s="37"/>
      <c r="E6" s="36"/>
      <c r="F6" s="36"/>
      <c r="G6" s="36"/>
      <c r="H6" s="36"/>
      <c r="I6" s="36"/>
      <c r="J6" s="36"/>
      <c r="K6" s="36"/>
      <c r="L6" s="38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18"/>
    </row>
    <row r="7" spans="1:28" ht="18" customHeight="1" x14ac:dyDescent="0.25">
      <c r="A7" s="36" t="str">
        <f>"NĂM HỌC "&amp;A3&amp;" - "&amp;A3+1</f>
        <v>NĂM HỌC 2025 - 2026</v>
      </c>
      <c r="B7" s="36"/>
      <c r="C7" s="36"/>
      <c r="D7" s="37"/>
      <c r="E7" s="36"/>
      <c r="F7" s="36"/>
      <c r="G7" s="36"/>
      <c r="H7" s="36"/>
      <c r="I7" s="36"/>
      <c r="J7" s="36"/>
      <c r="K7" s="36"/>
      <c r="L7" s="38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18"/>
    </row>
    <row r="8" spans="1:28" ht="30.95" customHeight="1" x14ac:dyDescent="0.25">
      <c r="A8" s="39" t="str">
        <f>"(Kèm theo Quyết định số ……....... /QĐ - CĐĐL ngày …........ tháng …....... năm "&amp;A3&amp;" của Trường Cao đẳng Đắk Lắk)"</f>
        <v>(Kèm theo Quyết định số ……....... /QĐ - CĐĐL ngày …........ tháng …....... năm 2025 của Trường Cao đẳng Đắk Lắk)</v>
      </c>
      <c r="B8" s="39"/>
      <c r="C8" s="39"/>
      <c r="D8" s="40"/>
      <c r="E8" s="39"/>
      <c r="F8" s="39"/>
      <c r="G8" s="39"/>
      <c r="H8" s="39"/>
      <c r="I8" s="39"/>
      <c r="J8" s="39"/>
      <c r="K8" s="39"/>
      <c r="L8" s="41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18"/>
    </row>
    <row r="9" spans="1:28" s="2" customFormat="1" ht="47.25" customHeight="1" x14ac:dyDescent="0.2">
      <c r="A9" s="29" t="s">
        <v>7</v>
      </c>
      <c r="B9" s="42" t="s">
        <v>8</v>
      </c>
      <c r="C9" s="44" t="s">
        <v>9</v>
      </c>
      <c r="D9" s="29" t="s">
        <v>10</v>
      </c>
      <c r="E9" s="29" t="s">
        <v>11</v>
      </c>
      <c r="F9" s="29" t="s">
        <v>12</v>
      </c>
      <c r="G9" s="47" t="s">
        <v>13</v>
      </c>
      <c r="H9" s="29" t="s">
        <v>14</v>
      </c>
      <c r="I9" s="29" t="s">
        <v>15</v>
      </c>
      <c r="J9" s="29" t="s">
        <v>16</v>
      </c>
      <c r="K9" s="29" t="s">
        <v>17</v>
      </c>
      <c r="L9" s="29" t="s">
        <v>18</v>
      </c>
      <c r="M9" s="47" t="s">
        <v>19</v>
      </c>
      <c r="N9" s="47" t="s">
        <v>20</v>
      </c>
      <c r="O9" s="46" t="s">
        <v>130</v>
      </c>
      <c r="P9" s="46" t="s">
        <v>21</v>
      </c>
      <c r="Q9" s="46"/>
      <c r="R9" s="46" t="s">
        <v>22</v>
      </c>
      <c r="S9" s="46" t="s">
        <v>23</v>
      </c>
      <c r="T9" s="46" t="s">
        <v>24</v>
      </c>
      <c r="U9" s="46" t="s">
        <v>25</v>
      </c>
      <c r="V9" s="50" t="s">
        <v>26</v>
      </c>
      <c r="W9" s="29" t="s">
        <v>27</v>
      </c>
      <c r="X9" s="51" t="s">
        <v>28</v>
      </c>
      <c r="Y9" s="52" t="s">
        <v>29</v>
      </c>
      <c r="Z9" s="49" t="s">
        <v>30</v>
      </c>
    </row>
    <row r="10" spans="1:28" s="2" customFormat="1" ht="44.45" customHeight="1" x14ac:dyDescent="0.2">
      <c r="A10" s="29"/>
      <c r="B10" s="43"/>
      <c r="C10" s="45"/>
      <c r="D10" s="29"/>
      <c r="E10" s="29"/>
      <c r="F10" s="29"/>
      <c r="G10" s="48"/>
      <c r="H10" s="29"/>
      <c r="I10" s="29"/>
      <c r="J10" s="29"/>
      <c r="K10" s="29"/>
      <c r="L10" s="29"/>
      <c r="M10" s="48"/>
      <c r="N10" s="48"/>
      <c r="O10" s="46"/>
      <c r="P10" s="20" t="s">
        <v>31</v>
      </c>
      <c r="Q10" s="19" t="s">
        <v>32</v>
      </c>
      <c r="R10" s="46"/>
      <c r="S10" s="46"/>
      <c r="T10" s="46"/>
      <c r="U10" s="46"/>
      <c r="V10" s="50"/>
      <c r="W10" s="29"/>
      <c r="X10" s="51"/>
      <c r="Y10" s="52"/>
      <c r="Z10" s="49"/>
    </row>
    <row r="11" spans="1:28" s="17" customFormat="1" ht="23.25" customHeight="1" x14ac:dyDescent="0.2">
      <c r="A11" s="21">
        <v>1</v>
      </c>
      <c r="B11" s="22" t="s">
        <v>33</v>
      </c>
      <c r="C11" s="23" t="s">
        <v>34</v>
      </c>
      <c r="D11" s="24" t="s">
        <v>35</v>
      </c>
      <c r="E11" s="25" t="s">
        <v>36</v>
      </c>
      <c r="F11" s="25" t="s">
        <v>37</v>
      </c>
      <c r="G11" s="25" t="s">
        <v>38</v>
      </c>
      <c r="H11" s="25" t="s">
        <v>39</v>
      </c>
      <c r="I11" s="25" t="s">
        <v>40</v>
      </c>
      <c r="J11" s="26" t="s">
        <v>41</v>
      </c>
      <c r="K11" s="26" t="s">
        <v>42</v>
      </c>
      <c r="L11" s="26" t="s">
        <v>37</v>
      </c>
      <c r="M11" s="54">
        <v>7.7</v>
      </c>
      <c r="N11" s="54">
        <v>6.9</v>
      </c>
      <c r="O11" s="54">
        <f>SUM(M11:N11)</f>
        <v>14.600000000000001</v>
      </c>
      <c r="P11" s="53">
        <v>0</v>
      </c>
      <c r="Q11" s="53">
        <v>0</v>
      </c>
      <c r="R11" s="53">
        <v>0.75</v>
      </c>
      <c r="S11" s="53">
        <f>P11+R11</f>
        <v>0.75</v>
      </c>
      <c r="T11" s="54">
        <f>O11+S11</f>
        <v>15.350000000000001</v>
      </c>
      <c r="U11" s="25" t="s">
        <v>43</v>
      </c>
      <c r="V11" s="25">
        <v>2025</v>
      </c>
      <c r="W11" s="24" t="s">
        <v>44</v>
      </c>
      <c r="X11" s="25" t="s">
        <v>45</v>
      </c>
      <c r="Y11" s="25" t="s">
        <v>46</v>
      </c>
      <c r="Z11" s="25"/>
      <c r="AA11" s="27"/>
      <c r="AB11" s="27"/>
    </row>
    <row r="12" spans="1:28" s="18" customFormat="1" ht="23.25" customHeight="1" x14ac:dyDescent="0.25">
      <c r="A12" s="21">
        <v>2</v>
      </c>
      <c r="B12" s="22" t="s">
        <v>47</v>
      </c>
      <c r="C12" s="23" t="s">
        <v>48</v>
      </c>
      <c r="D12" s="24" t="s">
        <v>49</v>
      </c>
      <c r="E12" s="25" t="s">
        <v>36</v>
      </c>
      <c r="F12" s="25" t="s">
        <v>50</v>
      </c>
      <c r="G12" s="25" t="s">
        <v>51</v>
      </c>
      <c r="H12" s="25" t="s">
        <v>39</v>
      </c>
      <c r="I12" s="25" t="s">
        <v>52</v>
      </c>
      <c r="J12" s="26" t="s">
        <v>53</v>
      </c>
      <c r="K12" s="26" t="s">
        <v>54</v>
      </c>
      <c r="L12" s="26" t="s">
        <v>51</v>
      </c>
      <c r="M12" s="54">
        <v>8.1999999999999993</v>
      </c>
      <c r="N12" s="54">
        <v>6.8</v>
      </c>
      <c r="O12" s="54">
        <f t="shared" ref="O12:O20" si="0">SUM(M12:N12)</f>
        <v>15</v>
      </c>
      <c r="P12" s="53">
        <v>0</v>
      </c>
      <c r="Q12" s="53">
        <v>0</v>
      </c>
      <c r="R12" s="53">
        <v>0.75</v>
      </c>
      <c r="S12" s="53">
        <v>0.75</v>
      </c>
      <c r="T12" s="54">
        <f t="shared" ref="T12:T20" si="1">O12+S12</f>
        <v>15.75</v>
      </c>
      <c r="U12" s="25" t="s">
        <v>43</v>
      </c>
      <c r="V12" s="25">
        <v>2019</v>
      </c>
      <c r="W12" s="24" t="s">
        <v>55</v>
      </c>
      <c r="X12" s="25" t="s">
        <v>56</v>
      </c>
      <c r="Y12" s="25" t="s">
        <v>57</v>
      </c>
      <c r="Z12" s="25"/>
    </row>
    <row r="13" spans="1:28" s="17" customFormat="1" ht="23.25" customHeight="1" x14ac:dyDescent="0.2">
      <c r="A13" s="21">
        <v>3</v>
      </c>
      <c r="B13" s="22" t="s">
        <v>58</v>
      </c>
      <c r="C13" s="23" t="s">
        <v>59</v>
      </c>
      <c r="D13" s="24" t="s">
        <v>60</v>
      </c>
      <c r="E13" s="25" t="s">
        <v>36</v>
      </c>
      <c r="F13" s="25" t="s">
        <v>37</v>
      </c>
      <c r="G13" s="25" t="s">
        <v>61</v>
      </c>
      <c r="H13" s="25" t="s">
        <v>39</v>
      </c>
      <c r="I13" s="25" t="s">
        <v>52</v>
      </c>
      <c r="J13" s="26" t="s">
        <v>62</v>
      </c>
      <c r="K13" s="26" t="s">
        <v>63</v>
      </c>
      <c r="L13" s="26" t="s">
        <v>37</v>
      </c>
      <c r="M13" s="54">
        <v>7.7</v>
      </c>
      <c r="N13" s="54">
        <v>7</v>
      </c>
      <c r="O13" s="54">
        <f>SUM(M13:N13)</f>
        <v>14.7</v>
      </c>
      <c r="P13" s="53">
        <v>0</v>
      </c>
      <c r="Q13" s="53">
        <v>0</v>
      </c>
      <c r="R13" s="53">
        <v>0.75</v>
      </c>
      <c r="S13" s="53">
        <v>0.75</v>
      </c>
      <c r="T13" s="54">
        <f>O13+S13</f>
        <v>15.45</v>
      </c>
      <c r="U13" s="25" t="s">
        <v>43</v>
      </c>
      <c r="V13" s="25">
        <v>2025</v>
      </c>
      <c r="W13" s="24" t="s">
        <v>64</v>
      </c>
      <c r="X13" s="25" t="s">
        <v>65</v>
      </c>
      <c r="Y13" s="25" t="s">
        <v>66</v>
      </c>
      <c r="Z13" s="25"/>
      <c r="AA13" s="27"/>
      <c r="AB13" s="27"/>
    </row>
    <row r="14" spans="1:28" ht="23.25" customHeight="1" x14ac:dyDescent="0.25">
      <c r="A14" s="21">
        <v>4</v>
      </c>
      <c r="B14" s="22" t="s">
        <v>67</v>
      </c>
      <c r="C14" s="23" t="s">
        <v>68</v>
      </c>
      <c r="D14" s="24" t="s">
        <v>69</v>
      </c>
      <c r="E14" s="25" t="s">
        <v>36</v>
      </c>
      <c r="F14" s="25" t="s">
        <v>37</v>
      </c>
      <c r="G14" s="25" t="s">
        <v>70</v>
      </c>
      <c r="H14" s="25" t="s">
        <v>39</v>
      </c>
      <c r="I14" s="25" t="s">
        <v>52</v>
      </c>
      <c r="J14" s="26" t="s">
        <v>71</v>
      </c>
      <c r="K14" s="26" t="s">
        <v>72</v>
      </c>
      <c r="L14" s="26" t="s">
        <v>37</v>
      </c>
      <c r="M14" s="54"/>
      <c r="N14" s="54"/>
      <c r="O14" s="54"/>
      <c r="P14" s="53">
        <v>0</v>
      </c>
      <c r="Q14" s="53">
        <v>0</v>
      </c>
      <c r="R14" s="53">
        <v>0</v>
      </c>
      <c r="S14" s="53"/>
      <c r="T14" s="54"/>
      <c r="U14" s="25"/>
      <c r="V14" s="25"/>
      <c r="W14" s="24" t="s">
        <v>73</v>
      </c>
      <c r="X14" s="25"/>
      <c r="Y14" s="25"/>
      <c r="Z14" s="25" t="s">
        <v>74</v>
      </c>
      <c r="AA14" s="27"/>
      <c r="AB14" s="28"/>
    </row>
    <row r="15" spans="1:28" ht="23.25" customHeight="1" x14ac:dyDescent="0.25">
      <c r="A15" s="21">
        <v>5</v>
      </c>
      <c r="B15" s="22" t="s">
        <v>75</v>
      </c>
      <c r="C15" s="23" t="s">
        <v>76</v>
      </c>
      <c r="D15" s="24" t="s">
        <v>77</v>
      </c>
      <c r="E15" s="25" t="s">
        <v>36</v>
      </c>
      <c r="F15" s="25" t="s">
        <v>37</v>
      </c>
      <c r="G15" s="25" t="s">
        <v>78</v>
      </c>
      <c r="H15" s="25" t="s">
        <v>79</v>
      </c>
      <c r="I15" s="25" t="s">
        <v>40</v>
      </c>
      <c r="J15" s="26" t="s">
        <v>80</v>
      </c>
      <c r="K15" s="26" t="s">
        <v>81</v>
      </c>
      <c r="L15" s="26" t="s">
        <v>37</v>
      </c>
      <c r="M15" s="54">
        <v>7.2</v>
      </c>
      <c r="N15" s="54">
        <v>7.9</v>
      </c>
      <c r="O15" s="54">
        <f>SUM(M15:N15)</f>
        <v>15.100000000000001</v>
      </c>
      <c r="P15" s="53">
        <v>2</v>
      </c>
      <c r="Q15" s="53">
        <v>0</v>
      </c>
      <c r="R15" s="53">
        <v>0.75</v>
      </c>
      <c r="S15" s="53">
        <f t="shared" ref="S15:S17" si="2">P15+R15</f>
        <v>2.75</v>
      </c>
      <c r="T15" s="54">
        <f>O15+S15</f>
        <v>17.850000000000001</v>
      </c>
      <c r="U15" s="25" t="s">
        <v>43</v>
      </c>
      <c r="V15" s="25">
        <v>2025</v>
      </c>
      <c r="W15" s="24" t="s">
        <v>82</v>
      </c>
      <c r="X15" s="25" t="s">
        <v>83</v>
      </c>
      <c r="Y15" s="25" t="s">
        <v>84</v>
      </c>
      <c r="Z15" s="25"/>
    </row>
    <row r="16" spans="1:28" ht="23.25" customHeight="1" x14ac:dyDescent="0.25">
      <c r="A16" s="21">
        <v>6</v>
      </c>
      <c r="B16" s="22" t="s">
        <v>85</v>
      </c>
      <c r="C16" s="23" t="s">
        <v>86</v>
      </c>
      <c r="D16" s="24" t="s">
        <v>87</v>
      </c>
      <c r="E16" s="25" t="s">
        <v>36</v>
      </c>
      <c r="F16" s="25" t="s">
        <v>37</v>
      </c>
      <c r="G16" s="25" t="s">
        <v>88</v>
      </c>
      <c r="H16" s="25" t="s">
        <v>39</v>
      </c>
      <c r="I16" s="25" t="s">
        <v>52</v>
      </c>
      <c r="J16" s="26" t="s">
        <v>53</v>
      </c>
      <c r="K16" s="26" t="s">
        <v>89</v>
      </c>
      <c r="L16" s="26" t="s">
        <v>37</v>
      </c>
      <c r="M16" s="54">
        <v>8.6</v>
      </c>
      <c r="N16" s="54">
        <v>7.3</v>
      </c>
      <c r="O16" s="54">
        <f>SUM(M16:N16)</f>
        <v>15.899999999999999</v>
      </c>
      <c r="P16" s="53">
        <v>0</v>
      </c>
      <c r="Q16" s="53">
        <v>0</v>
      </c>
      <c r="R16" s="53">
        <v>0.75</v>
      </c>
      <c r="S16" s="53">
        <f t="shared" si="2"/>
        <v>0.75</v>
      </c>
      <c r="T16" s="54">
        <f>O16+S16</f>
        <v>16.649999999999999</v>
      </c>
      <c r="U16" s="25" t="s">
        <v>43</v>
      </c>
      <c r="V16" s="25">
        <v>2024</v>
      </c>
      <c r="W16" s="24" t="s">
        <v>90</v>
      </c>
      <c r="X16" s="25" t="s">
        <v>91</v>
      </c>
      <c r="Y16" s="25" t="s">
        <v>92</v>
      </c>
      <c r="Z16" s="25"/>
    </row>
    <row r="17" spans="1:28" s="18" customFormat="1" ht="23.25" customHeight="1" x14ac:dyDescent="0.25">
      <c r="A17" s="21">
        <v>7</v>
      </c>
      <c r="B17" s="22" t="s">
        <v>93</v>
      </c>
      <c r="C17" s="23" t="s">
        <v>94</v>
      </c>
      <c r="D17" s="24" t="s">
        <v>95</v>
      </c>
      <c r="E17" s="25" t="s">
        <v>36</v>
      </c>
      <c r="F17" s="25" t="s">
        <v>37</v>
      </c>
      <c r="G17" s="25" t="s">
        <v>96</v>
      </c>
      <c r="H17" s="25" t="s">
        <v>39</v>
      </c>
      <c r="I17" s="25" t="s">
        <v>40</v>
      </c>
      <c r="J17" s="26" t="s">
        <v>97</v>
      </c>
      <c r="K17" s="26" t="s">
        <v>98</v>
      </c>
      <c r="L17" s="26" t="s">
        <v>37</v>
      </c>
      <c r="M17" s="54">
        <v>7.9</v>
      </c>
      <c r="N17" s="54">
        <v>7.6</v>
      </c>
      <c r="O17" s="54">
        <f t="shared" si="0"/>
        <v>15.5</v>
      </c>
      <c r="P17" s="53">
        <v>0</v>
      </c>
      <c r="Q17" s="53">
        <v>0</v>
      </c>
      <c r="R17" s="53">
        <v>0.75</v>
      </c>
      <c r="S17" s="53">
        <f t="shared" si="2"/>
        <v>0.75</v>
      </c>
      <c r="T17" s="54">
        <f t="shared" si="1"/>
        <v>16.25</v>
      </c>
      <c r="U17" s="25" t="s">
        <v>43</v>
      </c>
      <c r="V17" s="25">
        <v>2025</v>
      </c>
      <c r="W17" s="24" t="s">
        <v>99</v>
      </c>
      <c r="X17" s="25" t="s">
        <v>100</v>
      </c>
      <c r="Y17" s="25" t="s">
        <v>101</v>
      </c>
      <c r="Z17" s="25"/>
    </row>
    <row r="18" spans="1:28" ht="23.25" customHeight="1" x14ac:dyDescent="0.25">
      <c r="A18" s="21">
        <v>8</v>
      </c>
      <c r="B18" s="22" t="s">
        <v>102</v>
      </c>
      <c r="C18" s="23" t="s">
        <v>103</v>
      </c>
      <c r="D18" s="24" t="s">
        <v>104</v>
      </c>
      <c r="E18" s="25" t="s">
        <v>36</v>
      </c>
      <c r="F18" s="25" t="s">
        <v>37</v>
      </c>
      <c r="G18" s="25" t="s">
        <v>105</v>
      </c>
      <c r="H18" s="25" t="s">
        <v>39</v>
      </c>
      <c r="I18" s="25" t="s">
        <v>52</v>
      </c>
      <c r="J18" s="26" t="s">
        <v>106</v>
      </c>
      <c r="K18" s="26" t="s">
        <v>107</v>
      </c>
      <c r="L18" s="26" t="s">
        <v>37</v>
      </c>
      <c r="M18" s="54">
        <v>6</v>
      </c>
      <c r="N18" s="54">
        <v>6.8</v>
      </c>
      <c r="O18" s="54">
        <f t="shared" si="0"/>
        <v>12.8</v>
      </c>
      <c r="P18" s="53">
        <v>0</v>
      </c>
      <c r="Q18" s="53">
        <v>0</v>
      </c>
      <c r="R18" s="53">
        <v>0.75</v>
      </c>
      <c r="S18" s="53">
        <v>0.75</v>
      </c>
      <c r="T18" s="54">
        <f t="shared" si="1"/>
        <v>13.55</v>
      </c>
      <c r="U18" s="25" t="s">
        <v>43</v>
      </c>
      <c r="V18" s="25">
        <v>2011</v>
      </c>
      <c r="W18" s="24" t="s">
        <v>108</v>
      </c>
      <c r="X18" s="25" t="s">
        <v>109</v>
      </c>
      <c r="Y18" s="25" t="s">
        <v>110</v>
      </c>
      <c r="Z18" s="25"/>
    </row>
    <row r="19" spans="1:28" ht="23.25" customHeight="1" x14ac:dyDescent="0.25">
      <c r="A19" s="21">
        <v>9</v>
      </c>
      <c r="B19" s="22" t="s">
        <v>111</v>
      </c>
      <c r="C19" s="23" t="s">
        <v>112</v>
      </c>
      <c r="D19" s="24" t="s">
        <v>113</v>
      </c>
      <c r="E19" s="25" t="s">
        <v>36</v>
      </c>
      <c r="F19" s="25" t="s">
        <v>114</v>
      </c>
      <c r="G19" s="25" t="s">
        <v>78</v>
      </c>
      <c r="H19" s="25" t="s">
        <v>115</v>
      </c>
      <c r="I19" s="25" t="s">
        <v>40</v>
      </c>
      <c r="J19" s="26" t="s">
        <v>116</v>
      </c>
      <c r="K19" s="26" t="s">
        <v>117</v>
      </c>
      <c r="L19" s="26" t="s">
        <v>51</v>
      </c>
      <c r="M19" s="54">
        <v>7.1</v>
      </c>
      <c r="N19" s="54">
        <v>7.7</v>
      </c>
      <c r="O19" s="54">
        <f t="shared" si="0"/>
        <v>14.8</v>
      </c>
      <c r="P19" s="53">
        <v>2</v>
      </c>
      <c r="Q19" s="53">
        <v>0</v>
      </c>
      <c r="R19" s="53">
        <v>0.75</v>
      </c>
      <c r="S19" s="53">
        <f t="shared" ref="S19:S20" si="3">P19+R19</f>
        <v>2.75</v>
      </c>
      <c r="T19" s="54">
        <f t="shared" si="1"/>
        <v>17.55</v>
      </c>
      <c r="U19" s="25" t="s">
        <v>43</v>
      </c>
      <c r="V19" s="25">
        <v>2020</v>
      </c>
      <c r="W19" s="24" t="s">
        <v>118</v>
      </c>
      <c r="X19" s="25" t="s">
        <v>119</v>
      </c>
      <c r="Y19" s="25" t="s">
        <v>120</v>
      </c>
      <c r="Z19" s="25"/>
    </row>
    <row r="20" spans="1:28" s="17" customFormat="1" ht="23.25" customHeight="1" x14ac:dyDescent="0.2">
      <c r="A20" s="21">
        <v>10</v>
      </c>
      <c r="B20" s="22" t="s">
        <v>121</v>
      </c>
      <c r="C20" s="23" t="s">
        <v>122</v>
      </c>
      <c r="D20" s="24" t="s">
        <v>123</v>
      </c>
      <c r="E20" s="25" t="s">
        <v>36</v>
      </c>
      <c r="F20" s="25" t="s">
        <v>124</v>
      </c>
      <c r="G20" s="25" t="s">
        <v>124</v>
      </c>
      <c r="H20" s="25" t="s">
        <v>125</v>
      </c>
      <c r="I20" s="25" t="s">
        <v>40</v>
      </c>
      <c r="J20" s="26" t="s">
        <v>126</v>
      </c>
      <c r="K20" s="26" t="s">
        <v>127</v>
      </c>
      <c r="L20" s="26" t="s">
        <v>37</v>
      </c>
      <c r="M20" s="54">
        <v>7.1</v>
      </c>
      <c r="N20" s="54">
        <v>7.2</v>
      </c>
      <c r="O20" s="54">
        <f t="shared" si="0"/>
        <v>14.3</v>
      </c>
      <c r="P20" s="53">
        <v>2</v>
      </c>
      <c r="Q20" s="53">
        <v>0</v>
      </c>
      <c r="R20" s="53">
        <v>0.75</v>
      </c>
      <c r="S20" s="53">
        <f t="shared" si="3"/>
        <v>2.75</v>
      </c>
      <c r="T20" s="54">
        <f t="shared" si="1"/>
        <v>17.05</v>
      </c>
      <c r="U20" s="25" t="s">
        <v>43</v>
      </c>
      <c r="V20" s="25">
        <v>2024</v>
      </c>
      <c r="W20" s="24" t="s">
        <v>73</v>
      </c>
      <c r="X20" s="25" t="s">
        <v>128</v>
      </c>
      <c r="Y20" s="25" t="s">
        <v>129</v>
      </c>
      <c r="Z20" s="25"/>
      <c r="AA20" s="27"/>
      <c r="AB20" s="27"/>
    </row>
    <row r="21" spans="1:28" ht="23.25" customHeight="1" x14ac:dyDescent="0.25"/>
  </sheetData>
  <mergeCells count="31">
    <mergeCell ref="O9:O10"/>
    <mergeCell ref="P9:Q9"/>
    <mergeCell ref="R9:R10"/>
    <mergeCell ref="Z9:Z10"/>
    <mergeCell ref="T9:T10"/>
    <mergeCell ref="U9:U10"/>
    <mergeCell ref="V9:V10"/>
    <mergeCell ref="W9:W10"/>
    <mergeCell ref="X9:X10"/>
    <mergeCell ref="Y9:Y10"/>
    <mergeCell ref="J9:J10"/>
    <mergeCell ref="K9:K10"/>
    <mergeCell ref="L9:L10"/>
    <mergeCell ref="M9:M10"/>
    <mergeCell ref="N9:N10"/>
    <mergeCell ref="F9:F10"/>
    <mergeCell ref="A1:E1"/>
    <mergeCell ref="A2:E2"/>
    <mergeCell ref="A3:E3"/>
    <mergeCell ref="A6:Y6"/>
    <mergeCell ref="A7:Y7"/>
    <mergeCell ref="A8:Y8"/>
    <mergeCell ref="A9:A10"/>
    <mergeCell ref="B9:B10"/>
    <mergeCell ref="C9:C10"/>
    <mergeCell ref="D9:D10"/>
    <mergeCell ref="E9:E10"/>
    <mergeCell ref="S9:S10"/>
    <mergeCell ref="G9:G10"/>
    <mergeCell ref="H9:H10"/>
    <mergeCell ref="I9:I10"/>
  </mergeCells>
  <printOptions horizontalCentered="1"/>
  <pageMargins left="0.2" right="0.2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DS_TRUNGTUYEN_NGANH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đẳng Đắk Lắk</dc:creator>
  <cp:lastModifiedBy>Cao đẳng Đắk Lắk</cp:lastModifiedBy>
  <dcterms:created xsi:type="dcterms:W3CDTF">2026-01-21T08:24:36Z</dcterms:created>
  <dcterms:modified xsi:type="dcterms:W3CDTF">2026-01-22T09:25:27Z</dcterms:modified>
</cp:coreProperties>
</file>